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Netflix, Inc. (NFLX)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Netflix, Inc.</t>
        </is>
      </c>
    </row>
    <row r="5">
      <c r="A5" t="inlineStr">
        <is>
          <t>Ticker</t>
        </is>
      </c>
      <c r="B5" t="inlineStr">
        <is>
          <t>NFLX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45183.036</v>
      </c>
    </row>
    <row r="9">
      <c r="A9" t="inlineStr">
        <is>
          <t>Year 1 Growth</t>
        </is>
      </c>
      <c r="B9" s="4" t="n">
        <v>0.1</v>
      </c>
    </row>
    <row r="10">
      <c r="A10" t="inlineStr">
        <is>
          <t>Year 2 Growth</t>
        </is>
      </c>
      <c r="B10" s="4" t="n">
        <v>0.095</v>
      </c>
    </row>
    <row r="11">
      <c r="A11" t="inlineStr">
        <is>
          <t>Year 3 Growth</t>
        </is>
      </c>
      <c r="B11" s="4" t="n">
        <v>0.08400000000000001</v>
      </c>
    </row>
    <row r="12">
      <c r="A12" t="inlineStr">
        <is>
          <t>Year 4 Growth</t>
        </is>
      </c>
      <c r="B12" s="4" t="n">
        <v>0.073</v>
      </c>
    </row>
    <row r="13">
      <c r="A13" t="inlineStr">
        <is>
          <t>Year 5 Growth</t>
        </is>
      </c>
      <c r="B13" s="4" t="n">
        <v>0.05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0.303</v>
      </c>
    </row>
    <row r="17">
      <c r="A17" t="inlineStr">
        <is>
          <t>D&amp;A (% of Revenue)</t>
        </is>
      </c>
      <c r="B17" s="4" t="n">
        <v>0.03</v>
      </c>
    </row>
    <row r="18">
      <c r="A18" t="inlineStr">
        <is>
          <t>CapEx (% of Revenue)</t>
        </is>
      </c>
      <c r="B18" s="4" t="n">
        <v>0.04</v>
      </c>
    </row>
    <row r="19">
      <c r="A19" t="inlineStr">
        <is>
          <t>NWC (% of Revenue)</t>
        </is>
      </c>
      <c r="B19" s="4" t="n">
        <v>0.1</v>
      </c>
    </row>
    <row r="20">
      <c r="A20" t="inlineStr">
        <is>
          <t>Tax Rate</t>
        </is>
      </c>
      <c r="B20" s="4" t="n">
        <v>0.25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0.045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Levered Beta</t>
        </is>
      </c>
      <c r="B25" s="6" t="n">
        <v>0.9</v>
      </c>
    </row>
    <row r="26">
      <c r="A26" t="inlineStr">
        <is>
          <t>Pre-Tax Cost of Debt</t>
        </is>
      </c>
      <c r="B26" s="5" t="n">
        <v>0.06</v>
      </c>
    </row>
    <row r="27">
      <c r="A27" t="inlineStr">
        <is>
          <t>Debt / Total Capital</t>
        </is>
      </c>
      <c r="B27" s="4" t="n">
        <v>0.25</v>
      </c>
    </row>
    <row r="29">
      <c r="A29" t="inlineStr">
        <is>
          <t>Cost of Equity (CAPM)</t>
        </is>
      </c>
      <c r="B29" s="7">
        <f>B23+B25*B24</f>
        <v/>
      </c>
    </row>
    <row r="30">
      <c r="A30" t="inlineStr">
        <is>
          <t>After-Tax Cost of Debt</t>
        </is>
      </c>
      <c r="B30" s="7">
        <f>B26*(1-B20)</f>
        <v/>
      </c>
    </row>
    <row r="31">
      <c r="A31" s="8" t="inlineStr">
        <is>
          <t>WACC</t>
        </is>
      </c>
      <c r="B31" s="9">
        <f>B29*(1-B27)+B30*B27</f>
        <v/>
      </c>
    </row>
    <row r="33">
      <c r="A33" s="2" t="inlineStr">
        <is>
          <t>TERMINAL VALUE ASSUMPTIONS</t>
        </is>
      </c>
    </row>
    <row r="34">
      <c r="A34" t="inlineStr">
        <is>
          <t>Perpetuity Growth Rate</t>
        </is>
      </c>
      <c r="B34" s="5" t="n">
        <v>0.025</v>
      </c>
    </row>
    <row r="35">
      <c r="A35" t="inlineStr">
        <is>
          <t>Exit EV/EBITDA Multiple</t>
        </is>
      </c>
      <c r="B35" s="10" t="n">
        <v>10</v>
      </c>
    </row>
    <row r="37">
      <c r="A37" s="2" t="inlineStr">
        <is>
          <t>CAPITAL STRUCTURE</t>
        </is>
      </c>
    </row>
    <row r="38">
      <c r="A38" t="inlineStr">
        <is>
          <t>Net Debt ($M)</t>
        </is>
      </c>
      <c r="B38" s="3" t="n">
        <v>12823.406</v>
      </c>
    </row>
    <row r="39">
      <c r="A39" t="inlineStr">
        <is>
          <t>Shares Outstanding (M)</t>
        </is>
      </c>
      <c r="B39" s="11" t="n">
        <v>4277.571</v>
      </c>
    </row>
    <row r="41">
      <c r="A41" s="2" t="inlineStr">
        <is>
          <t>MODEL SETTINGS</t>
        </is>
      </c>
    </row>
    <row r="42">
      <c r="A42" t="inlineStr">
        <is>
          <t>Use Mid-Year Convention</t>
        </is>
      </c>
      <c r="B42" s="12" t="n">
        <v>1</v>
      </c>
      <c r="C42" t="inlineStr">
        <is>
          <t>(1=Yes, 0=No)</t>
        </is>
      </c>
    </row>
  </sheetData>
  <mergeCells count="7">
    <mergeCell ref="A37:D37"/>
    <mergeCell ref="A22:D22"/>
    <mergeCell ref="A3:D3"/>
    <mergeCell ref="A15:D15"/>
    <mergeCell ref="A7:D7"/>
    <mergeCell ref="A41:D41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IF(Assumptions!B42=1,0+0.5,1)</f>
        <v/>
      </c>
      <c r="D17" s="18">
        <f>IF(Assumptions!B42=1,1+0.5,2)</f>
        <v/>
      </c>
      <c r="E17" s="18">
        <f>IF(Assumptions!B42=1,2+0.5,3)</f>
        <v/>
      </c>
      <c r="F17" s="18">
        <f>IF(Assumptions!B42=1,3+0.5,4)</f>
        <v/>
      </c>
      <c r="G17" s="18">
        <f>IF(Assumptions!B42=1,4+0.5,5)</f>
        <v/>
      </c>
    </row>
    <row r="18">
      <c r="A18" t="inlineStr">
        <is>
          <t>Discount Factor</t>
        </is>
      </c>
      <c r="C18" s="19">
        <f>1/(1+Assumptions!B31)^C17</f>
        <v/>
      </c>
      <c r="D18" s="19">
        <f>1/(1+Assumptions!B31)^D17</f>
        <v/>
      </c>
      <c r="E18" s="19">
        <f>1/(1+Assumptions!B31)^E17</f>
        <v/>
      </c>
      <c r="F18" s="19">
        <f>1/(1+Assumptions!B31)^F17</f>
        <v/>
      </c>
      <c r="G18" s="19">
        <f>1/(1+Assumptions!B31)^G17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G14*(1+Assumptions!B34)/(Assumptions!B31-Assumptions!B34)</f>
        <v/>
      </c>
    </row>
    <row r="23">
      <c r="A23" t="inlineStr">
        <is>
          <t>Terminal Value (Exit Multiple)</t>
        </is>
      </c>
      <c r="B23" s="16">
        <f>G6*Assumptions!B35</f>
        <v/>
      </c>
    </row>
    <row r="24">
      <c r="A24" t="inlineStr">
        <is>
          <t>PV of TV (Gordon Growth)</t>
        </is>
      </c>
      <c r="B24" s="16">
        <f>B22/(1+Assumptions!B31)^IF(Assumptions!B42=1,5,5)</f>
        <v/>
      </c>
    </row>
    <row r="25">
      <c r="A25" t="inlineStr">
        <is>
          <t>PV of TV (Exit Multiple)</t>
        </is>
      </c>
      <c r="B25" s="16">
        <f>B23/(1+Assumptions!B31)^IF(Assumptions!B42=1,5,5)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-Assumptions!B38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B33/Assumptions!B39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-Assumptions!B38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B39/Assumptions!B39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IF(Assumptions!B31&gt;Assumptions!B34,"PASS","FAIL")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IF(AND(Assumptions!B31&gt;=0.05,Assumptions!B31&lt;=0.15),"PASS","WARNING")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IF(Assumptions!B34&lt;=0.04,"PASS","WARNING")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IF(Assumptions!B39&gt;0,"PASS","FAIL")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2026-02-03T01:35:31Z</dcterms:created>
  <dcterms:modified xsi:type="dcterms:W3CDTF">2026-02-03T01:35:31Z</dcterms:modified>
</cp:coreProperties>
</file>