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tents" sheetId="2" state="visible" r:id="rId2"/>
    <sheet name="Inputs_Index" sheetId="3" state="visible" r:id="rId3"/>
    <sheet name="Key_Assumptions" sheetId="4" state="visible" r:id="rId4"/>
    <sheet name="Historical_IS" sheetId="5" state="visible" r:id="rId5"/>
    <sheet name="Historical_BS" sheetId="6" state="visible" r:id="rId6"/>
    <sheet name="Historical_CF" sheetId="7" state="visible" r:id="rId7"/>
    <sheet name="Revenue_Build" sheetId="8" state="visible" r:id="rId8"/>
    <sheet name="COGS_Gross_Margin" sheetId="9" state="visible" r:id="rId9"/>
    <sheet name="Opex" sheetId="10" state="visible" r:id="rId10"/>
    <sheet name="EBITDA_Bridge" sheetId="11" state="visible" r:id="rId11"/>
    <sheet name="D&amp;A" sheetId="12" state="visible" r:id="rId12"/>
    <sheet name="Capex" sheetId="13" state="visible" r:id="rId13"/>
    <sheet name="Working_Capital" sheetId="14" state="visible" r:id="rId14"/>
    <sheet name="Other_Operating" sheetId="15" state="visible" r:id="rId15"/>
    <sheet name="Taxes" sheetId="16" state="visible" r:id="rId16"/>
    <sheet name="Unlevered_FCF" sheetId="17" state="visible" r:id="rId17"/>
    <sheet name="Debt_Schedule" sheetId="18" state="visible" r:id="rId18"/>
    <sheet name="Interest_Expense" sheetId="19" state="visible" r:id="rId19"/>
    <sheet name="Share_Count" sheetId="20" state="visible" r:id="rId20"/>
    <sheet name="WACC" sheetId="21" state="visible" r:id="rId21"/>
    <sheet name="DCF_Valuation" sheetId="22" state="visible" r:id="rId22"/>
    <sheet name="Terminal_Value" sheetId="23" state="visible" r:id="rId23"/>
    <sheet name="EV_Equity_Bridge" sheetId="24" state="visible" r:id="rId24"/>
    <sheet name="Sensitivity" sheetId="25" state="visible" r:id="rId25"/>
    <sheet name="Scenario_Manager" sheetId="26" state="visible" r:id="rId26"/>
    <sheet name="KPI_Dashboard" sheetId="27" state="visible" r:id="rId27"/>
    <sheet name="Trading_Comps" sheetId="28" state="visible" r:id="rId28"/>
    <sheet name="Transactions_Comps" sheetId="29" state="visible" r:id="rId29"/>
    <sheet name="Charts_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color rgb="000000FF"/>
    </font>
    <font>
      <color rgb="00000000"/>
    </font>
    <font>
      <b val="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  <xf numFmtId="2" fontId="4" fillId="3" borderId="1" pivotButton="0" quotePrefix="0" xfId="0"/>
    <xf numFmtId="10" fontId="5" fillId="0" borderId="0" pivotButton="0" quotePrefix="0" xfId="0"/>
    <xf numFmtId="0" fontId="6" fillId="0" borderId="0" pivotButton="0" quotePrefix="0" xfId="0"/>
    <xf numFmtId="10" fontId="6" fillId="4" borderId="1" pivotButton="0" quotePrefix="0" xfId="0"/>
    <xf numFmtId="165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0" fontId="2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3" fontId="6" fillId="0" borderId="0" pivotButton="0" quotePrefix="0" xfId="0"/>
    <xf numFmtId="3" fontId="6" fillId="0" borderId="2" pivotButton="0" quotePrefix="0" xfId="0"/>
    <xf numFmtId="167" fontId="5" fillId="0" borderId="0" pivotButton="0" quotePrefix="0" xfId="0"/>
    <xf numFmtId="168" fontId="5" fillId="0" borderId="0" pivotButton="0" quotePrefix="0" xfId="0"/>
    <xf numFmtId="0" fontId="8" fillId="0" borderId="0" pivotButton="0" quotePrefix="0" xfId="0"/>
    <xf numFmtId="3" fontId="6" fillId="4" borderId="1" pivotButton="0" quotePrefix="0" xfId="0"/>
    <xf numFmtId="169" fontId="9" fillId="4" borderId="1" pivotButton="0" quotePrefix="0" xfId="0"/>
    <xf numFmtId="169" fontId="0" fillId="0" borderId="0" pivotButton="0" quotePrefix="0" xfId="0"/>
    <xf numFmtId="164" fontId="0" fillId="0" borderId="0" applyAlignment="1" pivotButton="0" quotePrefix="0" xfId="0">
      <alignment horizontal="center"/>
    </xf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CISCO SYSTEMS, INC. (CSCO)</t>
        </is>
      </c>
    </row>
    <row r="3">
      <c r="A3" t="inlineStr">
        <is>
          <t>Prepared For: Investment Banking Associates</t>
        </is>
      </c>
    </row>
    <row r="4">
      <c r="A4" t="inlineStr">
        <is>
          <t>Prepared By: PitchCraftAI</t>
        </is>
      </c>
    </row>
    <row r="5">
      <c r="A5" t="inlineStr">
        <is>
          <t>As of: February 3,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Contents</t>
        </is>
      </c>
    </row>
    <row r="3">
      <c r="A3" s="2" t="inlineStr">
        <is>
          <t>Tab</t>
        </is>
      </c>
      <c r="B3" s="2" t="inlineStr">
        <is>
          <t>Purpose</t>
        </is>
      </c>
    </row>
    <row r="4">
      <c r="A4" t="inlineStr">
        <is>
          <t>Cover</t>
        </is>
      </c>
      <c r="B4" t="inlineStr">
        <is>
          <t>Model cover</t>
        </is>
      </c>
    </row>
    <row r="5">
      <c r="A5" t="inlineStr">
        <is>
          <t>Contents</t>
        </is>
      </c>
      <c r="B5" t="inlineStr">
        <is>
          <t>Table of contents</t>
        </is>
      </c>
    </row>
    <row r="6">
      <c r="A6" t="inlineStr">
        <is>
          <t>Inputs_Index</t>
        </is>
      </c>
      <c r="B6" t="inlineStr">
        <is>
          <t>Key inputs and controls</t>
        </is>
      </c>
    </row>
    <row r="7">
      <c r="A7" t="inlineStr">
        <is>
          <t>Key_Assumptions</t>
        </is>
      </c>
      <c r="B7" t="inlineStr">
        <is>
          <t>Core model assumptions</t>
        </is>
      </c>
    </row>
    <row r="8">
      <c r="A8" t="inlineStr">
        <is>
          <t>Historical_IS</t>
        </is>
      </c>
      <c r="B8" t="inlineStr">
        <is>
          <t>Historical income statement</t>
        </is>
      </c>
    </row>
    <row r="9">
      <c r="A9" t="inlineStr">
        <is>
          <t>Historical_BS</t>
        </is>
      </c>
      <c r="B9" t="inlineStr">
        <is>
          <t>Historical balance sheet</t>
        </is>
      </c>
    </row>
    <row r="10">
      <c r="A10" t="inlineStr">
        <is>
          <t>Historical_CF</t>
        </is>
      </c>
      <c r="B10" t="inlineStr">
        <is>
          <t>Historical cash flow</t>
        </is>
      </c>
    </row>
    <row r="11">
      <c r="A11" t="inlineStr">
        <is>
          <t>Revenue_Build</t>
        </is>
      </c>
      <c r="B11" t="inlineStr">
        <is>
          <t>Revenue forecast build</t>
        </is>
      </c>
    </row>
    <row r="12">
      <c r="A12" t="inlineStr">
        <is>
          <t>COGS_Gross_Margin</t>
        </is>
      </c>
      <c r="B12" t="inlineStr">
        <is>
          <t>Gross margin / COGS build</t>
        </is>
      </c>
    </row>
    <row r="13">
      <c r="A13" t="inlineStr">
        <is>
          <t>Opex</t>
        </is>
      </c>
      <c r="B13" t="inlineStr">
        <is>
          <t>Operating expenses</t>
        </is>
      </c>
    </row>
    <row r="14">
      <c r="A14" t="inlineStr">
        <is>
          <t>EBITDA_Bridge</t>
        </is>
      </c>
      <c r="B14" t="inlineStr">
        <is>
          <t>EBITDA derivation</t>
        </is>
      </c>
    </row>
    <row r="15">
      <c r="A15" t="inlineStr">
        <is>
          <t>D&amp;A</t>
        </is>
      </c>
      <c r="B15" t="inlineStr">
        <is>
          <t>Depreciation &amp; amortization</t>
        </is>
      </c>
    </row>
    <row r="16">
      <c r="A16" t="inlineStr">
        <is>
          <t>Capex</t>
        </is>
      </c>
      <c r="B16" t="inlineStr">
        <is>
          <t>Capital expenditures</t>
        </is>
      </c>
    </row>
    <row r="17">
      <c r="A17" t="inlineStr">
        <is>
          <t>Working_Capital</t>
        </is>
      </c>
      <c r="B17" t="inlineStr">
        <is>
          <t>Net working capital build</t>
        </is>
      </c>
    </row>
    <row r="18">
      <c r="A18" t="inlineStr">
        <is>
          <t>Other_Operating</t>
        </is>
      </c>
      <c r="B18" t="inlineStr">
        <is>
          <t>Other operating items</t>
        </is>
      </c>
    </row>
    <row r="19">
      <c r="A19" t="inlineStr">
        <is>
          <t>Taxes</t>
        </is>
      </c>
      <c r="B19" t="inlineStr">
        <is>
          <t>Tax schedule</t>
        </is>
      </c>
    </row>
    <row r="20">
      <c r="A20" t="inlineStr">
        <is>
          <t>Unlevered_FCF</t>
        </is>
      </c>
      <c r="B20" t="inlineStr">
        <is>
          <t>Unlevered free cash flow</t>
        </is>
      </c>
    </row>
    <row r="21">
      <c r="A21" t="inlineStr">
        <is>
          <t>Debt_Schedule</t>
        </is>
      </c>
      <c r="B21" t="inlineStr">
        <is>
          <t>Debt and amortization</t>
        </is>
      </c>
    </row>
    <row r="22">
      <c r="A22" t="inlineStr">
        <is>
          <t>Interest_Expense</t>
        </is>
      </c>
      <c r="B22" t="inlineStr">
        <is>
          <t>Interest expense schedule</t>
        </is>
      </c>
    </row>
    <row r="23">
      <c r="A23" t="inlineStr">
        <is>
          <t>Share_Count</t>
        </is>
      </c>
      <c r="B23" t="inlineStr">
        <is>
          <t>Basic/diluted shares</t>
        </is>
      </c>
    </row>
    <row r="24">
      <c r="A24" t="inlineStr">
        <is>
          <t>WACC</t>
        </is>
      </c>
      <c r="B24" t="inlineStr">
        <is>
          <t>WACC build</t>
        </is>
      </c>
    </row>
    <row r="25">
      <c r="A25" t="inlineStr">
        <is>
          <t>DCF_Valuation</t>
        </is>
      </c>
      <c r="B25" t="inlineStr">
        <is>
          <t>DCF valuation</t>
        </is>
      </c>
    </row>
    <row r="26">
      <c r="A26" t="inlineStr">
        <is>
          <t>Terminal_Value</t>
        </is>
      </c>
      <c r="B26" t="inlineStr">
        <is>
          <t>Terminal value methods</t>
        </is>
      </c>
    </row>
    <row r="27">
      <c r="A27" t="inlineStr">
        <is>
          <t>EV_Equity_Bridge</t>
        </is>
      </c>
      <c r="B27" t="inlineStr">
        <is>
          <t>EV to equity bridge</t>
        </is>
      </c>
    </row>
    <row r="28">
      <c r="A28" t="inlineStr">
        <is>
          <t>Sensitivity</t>
        </is>
      </c>
      <c r="B28" t="inlineStr">
        <is>
          <t>Sensitivity tables</t>
        </is>
      </c>
    </row>
    <row r="29">
      <c r="A29" t="inlineStr">
        <is>
          <t>Scenario_Manager</t>
        </is>
      </c>
      <c r="B29" t="inlineStr">
        <is>
          <t>Scenario controls</t>
        </is>
      </c>
    </row>
    <row r="30">
      <c r="A30" t="inlineStr">
        <is>
          <t>KPI_Dashboard</t>
        </is>
      </c>
      <c r="B30" t="inlineStr">
        <is>
          <t>Key KPIs</t>
        </is>
      </c>
    </row>
    <row r="31">
      <c r="A31" t="inlineStr">
        <is>
          <t>Trading_Comps</t>
        </is>
      </c>
      <c r="B31" t="inlineStr">
        <is>
          <t>Trading comps</t>
        </is>
      </c>
    </row>
    <row r="32">
      <c r="A32" t="inlineStr">
        <is>
          <t>Transactions_Comps</t>
        </is>
      </c>
      <c r="B32" t="inlineStr">
        <is>
          <t>Transactions comps</t>
        </is>
      </c>
    </row>
    <row r="33">
      <c r="A33" t="inlineStr">
        <is>
          <t>Charts_Checks</t>
        </is>
      </c>
      <c r="B33" t="inlineStr">
        <is>
          <t>Charts and error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Inputs Index</t>
        </is>
      </c>
    </row>
    <row r="3">
      <c r="A3" s="2" t="inlineStr">
        <is>
          <t>Input</t>
        </is>
      </c>
      <c r="B3" s="2" t="inlineStr">
        <is>
          <t>Value</t>
        </is>
      </c>
    </row>
    <row r="4">
      <c r="A4" t="inlineStr">
        <is>
          <t>Base Revenue ($M)</t>
        </is>
      </c>
      <c r="B4">
        <f>Key_Assumptions!B8</f>
        <v/>
      </c>
    </row>
    <row r="5">
      <c r="A5" t="inlineStr">
        <is>
          <t>EBITDA Margin</t>
        </is>
      </c>
      <c r="B5">
        <f>Key_Assumptions!B16</f>
        <v/>
      </c>
    </row>
    <row r="6">
      <c r="A6" t="inlineStr">
        <is>
          <t>D&amp;A (% Rev)</t>
        </is>
      </c>
      <c r="B6">
        <f>Key_Assumptions!B17</f>
        <v/>
      </c>
    </row>
    <row r="7">
      <c r="A7" t="inlineStr">
        <is>
          <t>Capex (% Rev)</t>
        </is>
      </c>
      <c r="B7">
        <f>Key_Assumptions!B18</f>
        <v/>
      </c>
    </row>
    <row r="8">
      <c r="A8" t="inlineStr">
        <is>
          <t>NWC (% Rev)</t>
        </is>
      </c>
      <c r="B8">
        <f>Key_Assumptions!B19</f>
        <v/>
      </c>
    </row>
    <row r="9">
      <c r="A9" t="inlineStr">
        <is>
          <t>Tax Rate</t>
        </is>
      </c>
      <c r="B9">
        <f>Key_Assumptions!B20</f>
        <v/>
      </c>
    </row>
    <row r="10">
      <c r="A10" t="inlineStr">
        <is>
          <t>WACC</t>
        </is>
      </c>
      <c r="B10">
        <f>WACC!B15</f>
        <v/>
      </c>
    </row>
    <row r="11">
      <c r="A11" t="inlineStr">
        <is>
          <t>Terminal Growth</t>
        </is>
      </c>
      <c r="B11">
        <f>Key_Assumptions!B37</f>
        <v/>
      </c>
    </row>
    <row r="12">
      <c r="A12" t="inlineStr">
        <is>
          <t>Exit EV/EBITDA</t>
        </is>
      </c>
      <c r="B12">
        <f>Key_Assumptions!B38</f>
        <v/>
      </c>
    </row>
    <row r="13">
      <c r="A13" t="inlineStr">
        <is>
          <t>Net Debt ($M)</t>
        </is>
      </c>
      <c r="B13">
        <f>Key_Assumptions!B41</f>
        <v/>
      </c>
    </row>
    <row r="14">
      <c r="A14" t="inlineStr">
        <is>
          <t>Shares (M)</t>
        </is>
      </c>
      <c r="B14">
        <f>Key_Assumptions!B42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Key Assumptions - CISCO SYSTEMS, INC. (CSCO)</t>
        </is>
      </c>
    </row>
    <row r="3">
      <c r="A3" s="3" t="inlineStr">
        <is>
          <t>COMPANY INFORMATION</t>
        </is>
      </c>
    </row>
    <row r="4">
      <c r="A4" t="inlineStr">
        <is>
          <t>Company Name</t>
        </is>
      </c>
      <c r="B4" t="inlineStr">
        <is>
          <t>CISCO SYSTEMS, INC.</t>
        </is>
      </c>
    </row>
    <row r="5">
      <c r="A5" t="inlineStr">
        <is>
          <t>Ticker</t>
        </is>
      </c>
      <c r="B5" t="inlineStr">
        <is>
          <t>CSCO</t>
        </is>
      </c>
    </row>
    <row r="7">
      <c r="A7" s="3" t="inlineStr">
        <is>
          <t>REVENUE ASSUMPTIONS</t>
        </is>
      </c>
    </row>
    <row r="8">
      <c r="A8" t="inlineStr">
        <is>
          <t>Base Year Revenue ($M)</t>
        </is>
      </c>
      <c r="B8" s="4" t="n">
        <v>56998</v>
      </c>
    </row>
    <row r="9">
      <c r="A9" t="inlineStr">
        <is>
          <t>Year 1 Growth</t>
        </is>
      </c>
      <c r="B9" s="5" t="n">
        <v>0.022</v>
      </c>
    </row>
    <row r="10">
      <c r="A10" t="inlineStr">
        <is>
          <t>Year 2 Growth</t>
        </is>
      </c>
      <c r="B10" s="5" t="n">
        <v>0.02</v>
      </c>
    </row>
    <row r="11">
      <c r="A11" t="inlineStr">
        <is>
          <t>Year 3 Growth</t>
        </is>
      </c>
      <c r="B11" s="5" t="n">
        <v>0.016</v>
      </c>
    </row>
    <row r="12">
      <c r="A12" t="inlineStr">
        <is>
          <t>Year 4 Growth</t>
        </is>
      </c>
      <c r="B12" s="5" t="n">
        <v>0.012</v>
      </c>
    </row>
    <row r="13">
      <c r="A13" t="inlineStr">
        <is>
          <t>Year 5 Growth</t>
        </is>
      </c>
      <c r="B13" s="5" t="n">
        <v>0.01</v>
      </c>
    </row>
    <row r="15">
      <c r="A15" s="3" t="inlineStr">
        <is>
          <t>OPERATING ASSUMPTIONS</t>
        </is>
      </c>
    </row>
    <row r="16">
      <c r="A16" t="inlineStr">
        <is>
          <t>EBITDA Margin</t>
        </is>
      </c>
      <c r="B16" s="5" t="n">
        <v>0.276</v>
      </c>
    </row>
    <row r="17">
      <c r="A17" t="inlineStr">
        <is>
          <t>D&amp;A (% of Revenue)</t>
        </is>
      </c>
      <c r="B17" s="5" t="n">
        <v>0.04</v>
      </c>
    </row>
    <row r="18">
      <c r="A18" t="inlineStr">
        <is>
          <t>CapEx (% of Revenue)</t>
        </is>
      </c>
      <c r="B18" s="5" t="n">
        <v>0.05</v>
      </c>
    </row>
    <row r="19">
      <c r="A19" t="inlineStr">
        <is>
          <t>NWC (% of Revenue)</t>
        </is>
      </c>
      <c r="B19" s="5" t="n">
        <v>0.0684931506849315</v>
      </c>
    </row>
    <row r="20">
      <c r="A20" t="inlineStr">
        <is>
          <t>Tax Rate</t>
        </is>
      </c>
      <c r="B20" s="5" t="n">
        <v>0.24</v>
      </c>
    </row>
    <row r="22">
      <c r="A22" s="3" t="inlineStr">
        <is>
          <t>WACC BUILDUP</t>
        </is>
      </c>
    </row>
    <row r="23">
      <c r="A23" t="inlineStr">
        <is>
          <t>Risk-Free Rate</t>
        </is>
      </c>
      <c r="B23" s="6" t="n">
        <v>0.043</v>
      </c>
    </row>
    <row r="24">
      <c r="A24" t="inlineStr">
        <is>
          <t>Equity Risk Premium</t>
        </is>
      </c>
      <c r="B24" s="6" t="n">
        <v>0.055</v>
      </c>
    </row>
    <row r="25">
      <c r="A25" t="inlineStr">
        <is>
          <t>Unlevered Beta</t>
        </is>
      </c>
      <c r="B25" s="7" t="n">
        <v>1</v>
      </c>
    </row>
    <row r="26">
      <c r="A26" t="inlineStr">
        <is>
          <t>Levered Beta</t>
        </is>
      </c>
      <c r="B26" s="7" t="n">
        <v>1.19</v>
      </c>
    </row>
    <row r="27">
      <c r="A27" t="inlineStr">
        <is>
          <t>Size Premium</t>
        </is>
      </c>
      <c r="B27" s="6" t="n">
        <v>0.01</v>
      </c>
    </row>
    <row r="28">
      <c r="A28" t="inlineStr">
        <is>
          <t>Company Risk Premium</t>
        </is>
      </c>
      <c r="B28" s="6" t="n">
        <v>0.01</v>
      </c>
    </row>
    <row r="29">
      <c r="A29" t="inlineStr">
        <is>
          <t>Pre-Tax Cost of Debt</t>
        </is>
      </c>
      <c r="B29" s="6" t="n">
        <v>0.065</v>
      </c>
    </row>
    <row r="30">
      <c r="A30" t="inlineStr">
        <is>
          <t>Debt / Total Capital</t>
        </is>
      </c>
      <c r="B30" s="5" t="n">
        <v>0.2</v>
      </c>
    </row>
    <row r="32">
      <c r="A32" t="inlineStr">
        <is>
          <t>Cost of Equity (CAPM + Adj)</t>
        </is>
      </c>
      <c r="B32" s="8">
        <f>B23+B26*B24+B27+B28</f>
        <v/>
      </c>
    </row>
    <row r="33">
      <c r="A33" t="inlineStr">
        <is>
          <t>After-Tax Cost of Debt</t>
        </is>
      </c>
      <c r="B33" s="8">
        <f>B29*(1-B20)</f>
        <v/>
      </c>
    </row>
    <row r="34">
      <c r="A34" s="9" t="inlineStr">
        <is>
          <t>WACC</t>
        </is>
      </c>
      <c r="B34" s="10">
        <f>B32*(1-B30)+B33*B30</f>
        <v/>
      </c>
    </row>
    <row r="36">
      <c r="A36" s="3" t="inlineStr">
        <is>
          <t>TERMINAL VALUE ASSUMPTIONS</t>
        </is>
      </c>
    </row>
    <row r="37">
      <c r="A37" t="inlineStr">
        <is>
          <t>Perpetuity Growth Rate</t>
        </is>
      </c>
      <c r="B37" s="6" t="n">
        <v>0.025</v>
      </c>
    </row>
    <row r="38">
      <c r="A38" t="inlineStr">
        <is>
          <t>Exit EV/EBITDA Multiple</t>
        </is>
      </c>
      <c r="B38" s="11" t="n">
        <v>12</v>
      </c>
    </row>
    <row r="40">
      <c r="A40" s="3" t="inlineStr">
        <is>
          <t>CAPITAL STRUCTURE</t>
        </is>
      </c>
    </row>
    <row r="41">
      <c r="A41" t="inlineStr">
        <is>
          <t>Net Debt ($M)</t>
        </is>
      </c>
      <c r="B41" s="4" t="n">
        <v>16265</v>
      </c>
    </row>
    <row r="42">
      <c r="A42" t="inlineStr">
        <is>
          <t>Shares Outstanding (M)</t>
        </is>
      </c>
      <c r="B42" s="12" t="n">
        <v>4007</v>
      </c>
    </row>
    <row r="44">
      <c r="A44" s="3" t="inlineStr">
        <is>
          <t>MODEL SETTINGS</t>
        </is>
      </c>
    </row>
    <row r="45">
      <c r="A45" t="inlineStr">
        <is>
          <t>Use Mid-Year Convention</t>
        </is>
      </c>
      <c r="B45" s="13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IS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BS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Historical CF</t>
        </is>
      </c>
    </row>
    <row r="3">
      <c r="A3" t="inlineStr">
        <is>
          <t>(Populate with historical financials)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Revenue Build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Revenue Growth</t>
        </is>
      </c>
      <c r="B4" t="inlineStr">
        <is>
          <t>—</t>
        </is>
      </c>
      <c r="C4" s="15">
        <f>Key_Assumptions!B9</f>
        <v/>
      </c>
      <c r="D4" s="15">
        <f>Key_Assumptions!B10</f>
        <v/>
      </c>
      <c r="E4" s="15">
        <f>Key_Assumptions!B11</f>
        <v/>
      </c>
      <c r="F4" s="15">
        <f>Key_Assumptions!B12</f>
        <v/>
      </c>
      <c r="G4" s="15">
        <f>Key_Assumptions!B13</f>
        <v/>
      </c>
    </row>
    <row r="5">
      <c r="A5" t="inlineStr">
        <is>
          <t>Revenue</t>
        </is>
      </c>
      <c r="B5" s="16">
        <f>Key_Assumptions!B8</f>
        <v/>
      </c>
      <c r="C5" s="17">
        <f>B5*(1+C4)</f>
        <v/>
      </c>
      <c r="D5" s="17">
        <f>C5*(1+D4)</f>
        <v/>
      </c>
      <c r="E5" s="17">
        <f>D5*(1+E4)</f>
        <v/>
      </c>
      <c r="F5" s="17">
        <f>E5*(1+F4)</f>
        <v/>
      </c>
      <c r="G5" s="17">
        <f>F5*(1+G4)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COGS &amp; Gross Margin</t>
        </is>
      </c>
    </row>
    <row r="3">
      <c r="A3" t="inlineStr">
        <is>
          <t>(Placeholder for COGS and gross margin build)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Operating Expenses</t>
        </is>
      </c>
    </row>
    <row r="3">
      <c r="A3" t="inlineStr">
        <is>
          <t>(Placeholder for opex build)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EBITDA Bridge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Revenue</t>
        </is>
      </c>
      <c r="B4" s="16">
        <f>Revenue_Build!B5</f>
        <v/>
      </c>
      <c r="C4" s="16">
        <f>Revenue_Build!C5</f>
        <v/>
      </c>
      <c r="D4" s="16">
        <f>Revenue_Build!D5</f>
        <v/>
      </c>
      <c r="E4" s="16">
        <f>Revenue_Build!E5</f>
        <v/>
      </c>
      <c r="F4" s="16">
        <f>Revenue_Build!F5</f>
        <v/>
      </c>
      <c r="G4" s="16">
        <f>Revenue_Build!G5</f>
        <v/>
      </c>
    </row>
    <row r="5">
      <c r="A5" t="inlineStr">
        <is>
          <t>EBITDA Margin</t>
        </is>
      </c>
      <c r="B5" s="18">
        <f>Key_Assumptions!B16</f>
        <v/>
      </c>
      <c r="C5" s="18">
        <f>Key_Assumptions!B16</f>
        <v/>
      </c>
      <c r="D5" s="18">
        <f>Key_Assumptions!B16</f>
        <v/>
      </c>
      <c r="E5" s="18">
        <f>Key_Assumptions!B16</f>
        <v/>
      </c>
      <c r="F5" s="18">
        <f>Key_Assumptions!B16</f>
        <v/>
      </c>
      <c r="G5" s="18">
        <f>Key_Assumptions!B16</f>
        <v/>
      </c>
    </row>
    <row r="6">
      <c r="A6" s="9" t="inlineStr">
        <is>
          <t>EBITDA</t>
        </is>
      </c>
      <c r="B6" s="19">
        <f>B4*B5</f>
        <v/>
      </c>
      <c r="C6" s="19">
        <f>C4*C5</f>
        <v/>
      </c>
      <c r="D6" s="19">
        <f>D4*D5</f>
        <v/>
      </c>
      <c r="E6" s="19">
        <f>E4*E5</f>
        <v/>
      </c>
      <c r="F6" s="19">
        <f>F4*F5</f>
        <v/>
      </c>
      <c r="G6" s="19">
        <f>G4*G5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Depreciation &amp; Amortization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D&amp;A (% Rev)</t>
        </is>
      </c>
      <c r="B4" s="18">
        <f>Key_Assumptions!B17</f>
        <v/>
      </c>
      <c r="C4" s="18">
        <f>Key_Assumptions!B17</f>
        <v/>
      </c>
      <c r="D4" s="18">
        <f>Key_Assumptions!B17</f>
        <v/>
      </c>
      <c r="E4" s="18">
        <f>Key_Assumptions!B17</f>
        <v/>
      </c>
      <c r="F4" s="18">
        <f>Key_Assumptions!B17</f>
        <v/>
      </c>
      <c r="G4" s="18">
        <f>Key_Assumptions!B17</f>
        <v/>
      </c>
    </row>
    <row r="5">
      <c r="A5" t="inlineStr">
        <is>
          <t>D&amp;A</t>
        </is>
      </c>
      <c r="B5" s="17">
        <f>-Revenue_Build!B5*B4</f>
        <v/>
      </c>
      <c r="C5" s="17">
        <f>-Revenue_Build!C5*C4</f>
        <v/>
      </c>
      <c r="D5" s="17">
        <f>-Revenue_Build!D5*D4</f>
        <v/>
      </c>
      <c r="E5" s="17">
        <f>-Revenue_Build!E5*E4</f>
        <v/>
      </c>
      <c r="F5" s="17">
        <f>-Revenue_Build!F5*F4</f>
        <v/>
      </c>
      <c r="G5" s="17">
        <f>-Revenue_Build!G5*G4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Capital Expenditures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Capex (% Rev)</t>
        </is>
      </c>
      <c r="B4" s="18">
        <f>Key_Assumptions!B18</f>
        <v/>
      </c>
      <c r="C4" s="18">
        <f>Key_Assumptions!B18</f>
        <v/>
      </c>
      <c r="D4" s="18">
        <f>Key_Assumptions!B18</f>
        <v/>
      </c>
      <c r="E4" s="18">
        <f>Key_Assumptions!B18</f>
        <v/>
      </c>
      <c r="F4" s="18">
        <f>Key_Assumptions!B18</f>
        <v/>
      </c>
      <c r="G4" s="18">
        <f>Key_Assumptions!B18</f>
        <v/>
      </c>
    </row>
    <row r="5">
      <c r="A5" t="inlineStr">
        <is>
          <t>Capex</t>
        </is>
      </c>
      <c r="B5" s="17">
        <f>-Revenue_Build!B5*B4</f>
        <v/>
      </c>
      <c r="C5" s="17">
        <f>-Revenue_Build!C5*C4</f>
        <v/>
      </c>
      <c r="D5" s="17">
        <f>-Revenue_Build!D5*D4</f>
        <v/>
      </c>
      <c r="E5" s="17">
        <f>-Revenue_Build!E5*E4</f>
        <v/>
      </c>
      <c r="F5" s="17">
        <f>-Revenue_Build!F5*F4</f>
        <v/>
      </c>
      <c r="G5" s="17">
        <f>-Revenue_Build!G5*G4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Working Capital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NWC (% Rev)</t>
        </is>
      </c>
      <c r="B4" s="18">
        <f>Key_Assumptions!B19</f>
        <v/>
      </c>
      <c r="C4" s="18">
        <f>Key_Assumptions!B19</f>
        <v/>
      </c>
      <c r="D4" s="18">
        <f>Key_Assumptions!B19</f>
        <v/>
      </c>
      <c r="E4" s="18">
        <f>Key_Assumptions!B19</f>
        <v/>
      </c>
      <c r="F4" s="18">
        <f>Key_Assumptions!B19</f>
        <v/>
      </c>
      <c r="G4" s="18">
        <f>Key_Assumptions!B19</f>
        <v/>
      </c>
    </row>
    <row r="5">
      <c r="A5" t="inlineStr">
        <is>
          <t>Change in NWC</t>
        </is>
      </c>
      <c r="B5" s="16" t="n">
        <v>0</v>
      </c>
      <c r="C5" s="17">
        <f>-(C5-B5)*C4</f>
        <v/>
      </c>
      <c r="D5" s="17">
        <f>-(D5-C5)*D4</f>
        <v/>
      </c>
      <c r="E5" s="17">
        <f>-(E5-D5)*E4</f>
        <v/>
      </c>
      <c r="F5" s="17">
        <f>-(F5-E5)*F4</f>
        <v/>
      </c>
      <c r="G5" s="17">
        <f>-(G5-F5)*G4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Other Operating Items</t>
        </is>
      </c>
    </row>
    <row r="3">
      <c r="A3" t="inlineStr">
        <is>
          <t>(Placeholder for other operating items)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Taxes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EBIT</t>
        </is>
      </c>
      <c r="B4" s="17">
        <f>EBITDA_Bridge!B6+D&amp;A!B5</f>
        <v/>
      </c>
      <c r="C4" s="17">
        <f>EBITDA_Bridge!C6+D&amp;A!C5</f>
        <v/>
      </c>
      <c r="D4" s="17">
        <f>EBITDA_Bridge!D6+D&amp;A!D5</f>
        <v/>
      </c>
      <c r="E4" s="17">
        <f>EBITDA_Bridge!E6+D&amp;A!E5</f>
        <v/>
      </c>
      <c r="F4" s="17">
        <f>EBITDA_Bridge!F6+D&amp;A!F5</f>
        <v/>
      </c>
      <c r="G4" s="17">
        <f>EBITDA_Bridge!G6+D&amp;A!G5</f>
        <v/>
      </c>
    </row>
    <row r="5">
      <c r="A5" t="inlineStr">
        <is>
          <t>Tax Rate</t>
        </is>
      </c>
      <c r="B5" s="18">
        <f>Key_Assumptions!B20</f>
        <v/>
      </c>
      <c r="C5" s="18">
        <f>Key_Assumptions!B20</f>
        <v/>
      </c>
      <c r="D5" s="18">
        <f>Key_Assumptions!B20</f>
        <v/>
      </c>
      <c r="E5" s="18">
        <f>Key_Assumptions!B20</f>
        <v/>
      </c>
      <c r="F5" s="18">
        <f>Key_Assumptions!B20</f>
        <v/>
      </c>
      <c r="G5" s="18">
        <f>Key_Assumptions!B20</f>
        <v/>
      </c>
    </row>
    <row r="6">
      <c r="A6" t="inlineStr">
        <is>
          <t>Taxes</t>
        </is>
      </c>
      <c r="B6" s="17">
        <f>-MAX(0,B4)*B5</f>
        <v/>
      </c>
      <c r="C6" s="17">
        <f>-MAX(0,C4)*C5</f>
        <v/>
      </c>
      <c r="D6" s="17">
        <f>-MAX(0,D4)*D5</f>
        <v/>
      </c>
      <c r="E6" s="17">
        <f>-MAX(0,E4)*E5</f>
        <v/>
      </c>
      <c r="F6" s="17">
        <f>-MAX(0,F4)*F5</f>
        <v/>
      </c>
      <c r="G6" s="17">
        <f>-MAX(0,G4)*G5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Unlevered Free Cash Flow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EBIT</t>
        </is>
      </c>
      <c r="B4" s="17">
        <f>Taxes!B4</f>
        <v/>
      </c>
      <c r="C4" s="17">
        <f>Taxes!C4</f>
        <v/>
      </c>
      <c r="D4" s="17">
        <f>Taxes!D4</f>
        <v/>
      </c>
      <c r="E4" s="17">
        <f>Taxes!E4</f>
        <v/>
      </c>
      <c r="F4" s="17">
        <f>Taxes!F4</f>
        <v/>
      </c>
      <c r="G4" s="17">
        <f>Taxes!G4</f>
        <v/>
      </c>
    </row>
    <row r="5">
      <c r="A5" t="inlineStr">
        <is>
          <t>Less: Taxes</t>
        </is>
      </c>
      <c r="B5" s="17">
        <f>Taxes!B6</f>
        <v/>
      </c>
      <c r="C5" s="17">
        <f>Taxes!C6</f>
        <v/>
      </c>
      <c r="D5" s="17">
        <f>Taxes!D6</f>
        <v/>
      </c>
      <c r="E5" s="17">
        <f>Taxes!E6</f>
        <v/>
      </c>
      <c r="F5" s="17">
        <f>Taxes!F6</f>
        <v/>
      </c>
      <c r="G5" s="17">
        <f>Taxes!G6</f>
        <v/>
      </c>
    </row>
    <row r="6">
      <c r="A6" t="inlineStr">
        <is>
          <t>NOPAT</t>
        </is>
      </c>
      <c r="B6" s="17">
        <f>B4+B5</f>
        <v/>
      </c>
      <c r="C6" s="17">
        <f>C4+C5</f>
        <v/>
      </c>
      <c r="D6" s="17">
        <f>D4+D5</f>
        <v/>
      </c>
      <c r="E6" s="17">
        <f>E4+E5</f>
        <v/>
      </c>
      <c r="F6" s="17">
        <f>F4+F5</f>
        <v/>
      </c>
      <c r="G6" s="17">
        <f>G4+G5</f>
        <v/>
      </c>
    </row>
    <row r="7">
      <c r="A7" t="inlineStr">
        <is>
          <t>Plus: D&amp;A</t>
        </is>
      </c>
      <c r="B7" s="17">
        <f>-D&amp;A!B3</f>
        <v/>
      </c>
      <c r="C7" s="17">
        <f>-D&amp;A!C3</f>
        <v/>
      </c>
      <c r="D7" s="17">
        <f>-D&amp;A!D3</f>
        <v/>
      </c>
      <c r="E7" s="17">
        <f>-D&amp;A!E3</f>
        <v/>
      </c>
      <c r="F7" s="17">
        <f>-D&amp;A!F3</f>
        <v/>
      </c>
      <c r="G7" s="17">
        <f>-D&amp;A!G3</f>
        <v/>
      </c>
    </row>
    <row r="8">
      <c r="A8" t="inlineStr">
        <is>
          <t>Less: Capex</t>
        </is>
      </c>
      <c r="B8" s="17">
        <f>Capex!B3</f>
        <v/>
      </c>
      <c r="C8" s="17">
        <f>Capex!C3</f>
        <v/>
      </c>
      <c r="D8" s="17">
        <f>Capex!D3</f>
        <v/>
      </c>
      <c r="E8" s="17">
        <f>Capex!E3</f>
        <v/>
      </c>
      <c r="F8" s="17">
        <f>Capex!F3</f>
        <v/>
      </c>
      <c r="G8" s="17">
        <f>Capex!G3</f>
        <v/>
      </c>
    </row>
    <row r="9">
      <c r="A9" t="inlineStr">
        <is>
          <t>Less: Change in NWC</t>
        </is>
      </c>
      <c r="B9" s="17">
        <f>Working_Capital!B3</f>
        <v/>
      </c>
      <c r="C9" s="17">
        <f>Working_Capital!C3</f>
        <v/>
      </c>
      <c r="D9" s="17">
        <f>Working_Capital!D3</f>
        <v/>
      </c>
      <c r="E9" s="17">
        <f>Working_Capital!E3</f>
        <v/>
      </c>
      <c r="F9" s="17">
        <f>Working_Capital!F3</f>
        <v/>
      </c>
      <c r="G9" s="17">
        <f>Working_Capital!G3</f>
        <v/>
      </c>
    </row>
    <row r="10">
      <c r="A10" s="9" t="inlineStr">
        <is>
          <t>Unlevered FCF</t>
        </is>
      </c>
      <c r="B10" s="20">
        <f>B6+B7+B8+B9</f>
        <v/>
      </c>
      <c r="C10" s="20">
        <f>C6+C7+C8+C9</f>
        <v/>
      </c>
      <c r="D10" s="20">
        <f>D6+D7+D8+D9</f>
        <v/>
      </c>
      <c r="E10" s="20">
        <f>E6+E7+E8+E9</f>
        <v/>
      </c>
      <c r="F10" s="20">
        <f>F6+F7+F8+F9</f>
        <v/>
      </c>
      <c r="G10" s="20">
        <f>G6+G7+G8+G9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Debt Schedule</t>
        </is>
      </c>
    </row>
    <row r="3">
      <c r="A3" t="inlineStr">
        <is>
          <t>(Placeholder for debt schedule)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Interest Expense</t>
        </is>
      </c>
    </row>
    <row r="3">
      <c r="A3" t="inlineStr">
        <is>
          <t>(Placeholder for interest schedule)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Share Count</t>
        </is>
      </c>
    </row>
    <row r="3">
      <c r="A3" t="inlineStr">
        <is>
          <t>(Placeholder for share count schedule)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WACC Build</t>
        </is>
      </c>
    </row>
    <row r="3">
      <c r="A3" s="3" t="inlineStr">
        <is>
          <t>WACC BUILDUP</t>
        </is>
      </c>
    </row>
    <row r="4">
      <c r="A4" t="inlineStr">
        <is>
          <t>Risk-Free Rate</t>
        </is>
      </c>
      <c r="B4" s="6" t="n">
        <v>0.043</v>
      </c>
    </row>
    <row r="5">
      <c r="A5" t="inlineStr">
        <is>
          <t>Equity Risk Premium</t>
        </is>
      </c>
      <c r="B5" s="6" t="n">
        <v>0.055</v>
      </c>
    </row>
    <row r="6">
      <c r="A6" t="inlineStr">
        <is>
          <t>Unlevered Beta</t>
        </is>
      </c>
      <c r="B6" s="7" t="n">
        <v>1</v>
      </c>
    </row>
    <row r="7">
      <c r="A7" t="inlineStr">
        <is>
          <t>Levered Beta</t>
        </is>
      </c>
      <c r="B7" s="7" t="n">
        <v>1.19</v>
      </c>
    </row>
    <row r="8">
      <c r="A8" t="inlineStr">
        <is>
          <t>Size Premium</t>
        </is>
      </c>
      <c r="B8" s="6" t="n">
        <v>0.01</v>
      </c>
    </row>
    <row r="9">
      <c r="A9" t="inlineStr">
        <is>
          <t>Company Risk Premium</t>
        </is>
      </c>
      <c r="B9" s="6" t="n">
        <v>0.01</v>
      </c>
    </row>
    <row r="10">
      <c r="A10" t="inlineStr">
        <is>
          <t>Pre-Tax Cost of Debt</t>
        </is>
      </c>
      <c r="B10" s="6" t="n">
        <v>0.065</v>
      </c>
    </row>
    <row r="11">
      <c r="A11" t="inlineStr">
        <is>
          <t>Debt / Total Capital</t>
        </is>
      </c>
      <c r="B11" s="5" t="n">
        <v>0.2</v>
      </c>
    </row>
    <row r="13">
      <c r="A13" t="inlineStr">
        <is>
          <t>Cost of Equity (CAPM + Adj)</t>
        </is>
      </c>
      <c r="B13" s="8">
        <f>B4+B7*B5+B8+B9</f>
        <v/>
      </c>
    </row>
    <row r="14">
      <c r="A14" t="inlineStr">
        <is>
          <t>After-Tax Cost of Debt</t>
        </is>
      </c>
      <c r="B14" s="8">
        <f>B10*(1-Key_Assumptions!B20)</f>
        <v/>
      </c>
    </row>
    <row r="15">
      <c r="A15" s="9" t="inlineStr">
        <is>
          <t>WACC</t>
        </is>
      </c>
      <c r="B15" s="10">
        <f>B13*(1-B11)+B14*B11</f>
        <v/>
      </c>
    </row>
  </sheetData>
  <mergeCells count="1">
    <mergeCell ref="A3:D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Valuation</t>
        </is>
      </c>
    </row>
    <row r="3">
      <c r="B3" s="14" t="inlineStr">
        <is>
          <t>Base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</row>
    <row r="4">
      <c r="A4" t="inlineStr">
        <is>
          <t>Unlevered FCF</t>
        </is>
      </c>
      <c r="B4" s="17">
        <f>Unlevered_FCF!B10</f>
        <v/>
      </c>
      <c r="C4" s="17">
        <f>Unlevered_FCF!C10</f>
        <v/>
      </c>
      <c r="D4" s="17">
        <f>Unlevered_FCF!D10</f>
        <v/>
      </c>
      <c r="E4" s="17">
        <f>Unlevered_FCF!E10</f>
        <v/>
      </c>
      <c r="F4" s="17">
        <f>Unlevered_FCF!F10</f>
        <v/>
      </c>
      <c r="G4" s="17">
        <f>Unlevered_FCF!G10</f>
        <v/>
      </c>
    </row>
    <row r="6">
      <c r="A6" s="3" t="inlineStr">
        <is>
          <t>PRESENT VALUE CALCULATION</t>
        </is>
      </c>
    </row>
    <row r="7">
      <c r="A7" t="inlineStr">
        <is>
          <t>Discount Period</t>
        </is>
      </c>
      <c r="C7" s="21">
        <f>IF(Key_Assumptions!B45=1,0+0.5,1)</f>
        <v/>
      </c>
      <c r="D7" s="21">
        <f>IF(Key_Assumptions!B45=1,1+0.5,2)</f>
        <v/>
      </c>
      <c r="E7" s="21">
        <f>IF(Key_Assumptions!B45=1,2+0.5,3)</f>
        <v/>
      </c>
      <c r="F7" s="21">
        <f>IF(Key_Assumptions!B45=1,3+0.5,4)</f>
        <v/>
      </c>
      <c r="G7" s="21">
        <f>IF(Key_Assumptions!B45=1,4+0.5,5)</f>
        <v/>
      </c>
    </row>
    <row r="8">
      <c r="A8" t="inlineStr">
        <is>
          <t>Discount Factor</t>
        </is>
      </c>
      <c r="C8" s="22">
        <f>1/(1+WACC!B15)^C7</f>
        <v/>
      </c>
      <c r="D8" s="22">
        <f>1/(1+WACC!B15)^D7</f>
        <v/>
      </c>
      <c r="E8" s="22">
        <f>1/(1+WACC!B15)^E7</f>
        <v/>
      </c>
      <c r="F8" s="22">
        <f>1/(1+WACC!B15)^F7</f>
        <v/>
      </c>
      <c r="G8" s="22">
        <f>1/(1+WACC!B15)^G7</f>
        <v/>
      </c>
    </row>
    <row r="9">
      <c r="A9" t="inlineStr">
        <is>
          <t>PV of FCF</t>
        </is>
      </c>
      <c r="C9" s="17">
        <f>C3*C8</f>
        <v/>
      </c>
      <c r="D9" s="17">
        <f>D3*D8</f>
        <v/>
      </c>
      <c r="E9" s="17">
        <f>E3*E8</f>
        <v/>
      </c>
      <c r="F9" s="17">
        <f>F3*F8</f>
        <v/>
      </c>
      <c r="G9" s="17">
        <f>G3*G8</f>
        <v/>
      </c>
    </row>
    <row r="11">
      <c r="A11" s="3" t="inlineStr">
        <is>
          <t>VALUATION SUMMARY</t>
        </is>
      </c>
    </row>
    <row r="12">
      <c r="A12" t="inlineStr">
        <is>
          <t>Sum of PV of FCFs</t>
        </is>
      </c>
      <c r="B12" s="17">
        <f>SUM(C9:G9)</f>
        <v/>
      </c>
    </row>
    <row r="14">
      <c r="A14" s="23" t="inlineStr">
        <is>
          <t>GORDON GROWTH METHOD</t>
        </is>
      </c>
    </row>
    <row r="15">
      <c r="A15" t="inlineStr">
        <is>
          <t>Enterprise Value</t>
        </is>
      </c>
      <c r="B15" s="19">
        <f>B13+Terminal_Value!B5</f>
        <v/>
      </c>
    </row>
    <row r="16">
      <c r="A16" t="inlineStr">
        <is>
          <t>Less: Net Debt</t>
        </is>
      </c>
      <c r="B16" s="17">
        <f>-Key_Assumptions!B41</f>
        <v/>
      </c>
    </row>
    <row r="17">
      <c r="A17" t="inlineStr">
        <is>
          <t>Equity Value</t>
        </is>
      </c>
      <c r="B17" s="24">
        <f>B15+B16</f>
        <v/>
      </c>
    </row>
    <row r="18">
      <c r="A18" t="inlineStr">
        <is>
          <t>Implied Share Price</t>
        </is>
      </c>
      <c r="B18" s="25">
        <f>B17/Key_Assumptions!B42</f>
        <v/>
      </c>
    </row>
    <row r="20">
      <c r="A20" s="23" t="inlineStr">
        <is>
          <t>EXIT MULTIPLE METHOD</t>
        </is>
      </c>
    </row>
    <row r="21">
      <c r="A21" t="inlineStr">
        <is>
          <t>Enterprise Value</t>
        </is>
      </c>
      <c r="B21" s="19">
        <f>B14+Terminal_Value!B6</f>
        <v/>
      </c>
    </row>
    <row r="22">
      <c r="A22" t="inlineStr">
        <is>
          <t>Less: Net Debt</t>
        </is>
      </c>
      <c r="B22" s="17">
        <f>-Key_Assumptions!B41</f>
        <v/>
      </c>
    </row>
    <row r="23">
      <c r="A23" t="inlineStr">
        <is>
          <t>Equity Value</t>
        </is>
      </c>
      <c r="B23" s="24">
        <f>B21+B22</f>
        <v/>
      </c>
    </row>
    <row r="24">
      <c r="A24" t="inlineStr">
        <is>
          <t>Implied Share Price</t>
        </is>
      </c>
      <c r="B24" s="25">
        <f>B23/Key_Assumptions!B42</f>
        <v/>
      </c>
    </row>
  </sheetData>
  <mergeCells count="2">
    <mergeCell ref="A6:H6"/>
    <mergeCell ref="A11:D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Terminal Value</t>
        </is>
      </c>
    </row>
    <row r="3">
      <c r="A3" t="inlineStr">
        <is>
          <t>Terminal Value (Gordon Growth)</t>
        </is>
      </c>
      <c r="B3" s="17">
        <f>Unlevered_FCF!G10*(1+Key_Assumptions!B37)/(WACC!B15-Key_Assumptions!B37)</f>
        <v/>
      </c>
    </row>
    <row r="4">
      <c r="A4" t="inlineStr">
        <is>
          <t>Terminal Value (Exit Multiple)</t>
        </is>
      </c>
      <c r="B4" s="17">
        <f>EBITDA_Bridge!G6*Key_Assumptions!B38</f>
        <v/>
      </c>
    </row>
    <row r="5">
      <c r="A5" t="inlineStr">
        <is>
          <t>PV of TV (Gordon)</t>
        </is>
      </c>
      <c r="B5" s="17">
        <f>B2/(1+WACC!B15)^IF(Key_Assumptions!B45=1,5,5)</f>
        <v/>
      </c>
    </row>
    <row r="6">
      <c r="A6" t="inlineStr">
        <is>
          <t>PV of TV (Exit Multiple)</t>
        </is>
      </c>
      <c r="B6" s="17">
        <f>B3/(1+WACC!B15)^IF(Key_Assumptions!B45=1,5,5)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EV to Equity Bridge</t>
        </is>
      </c>
    </row>
    <row r="3">
      <c r="A3" t="inlineStr">
        <is>
          <t>Enterprise Value (Gordon)</t>
        </is>
      </c>
      <c r="B3" s="16">
        <f>DCF_Valuation!B15</f>
        <v/>
      </c>
    </row>
    <row r="4">
      <c r="A4" t="inlineStr">
        <is>
          <t>Less: Net Debt</t>
        </is>
      </c>
      <c r="B4" s="16">
        <f>-Key_Assumptions!B41</f>
        <v/>
      </c>
    </row>
    <row r="5">
      <c r="A5" t="inlineStr">
        <is>
          <t>Equity Value</t>
        </is>
      </c>
      <c r="B5" s="16">
        <f>B3+B4</f>
        <v/>
      </c>
    </row>
    <row r="6">
      <c r="A6" t="inlineStr">
        <is>
          <t>Implied Share Price</t>
        </is>
      </c>
      <c r="B6" s="26">
        <f>B5/Key_Assumptions!B42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3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7" t="n">
        <v>0.015</v>
      </c>
      <c r="D5" s="27" t="n">
        <v>0.02</v>
      </c>
      <c r="E5" s="27" t="n">
        <v>0.025</v>
      </c>
      <c r="F5" s="27" t="n">
        <v>0.03</v>
      </c>
      <c r="G5" s="27" t="n">
        <v>0.035</v>
      </c>
    </row>
    <row r="6">
      <c r="B6" s="18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18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18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18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18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8" t="inlineStr">
        <is>
          <t>Note: Populate data table manually or via VBA</t>
        </is>
      </c>
    </row>
    <row r="15">
      <c r="A15" s="3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9" t="n">
        <v>8</v>
      </c>
      <c r="D17" s="29" t="n">
        <v>9</v>
      </c>
      <c r="E17" s="29" t="n">
        <v>10</v>
      </c>
      <c r="F17" s="29" t="n">
        <v>11</v>
      </c>
      <c r="G17" s="29" t="n">
        <v>12</v>
      </c>
    </row>
    <row r="18">
      <c r="B18" s="18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18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18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18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18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Scenario Manager</t>
        </is>
      </c>
    </row>
    <row r="3">
      <c r="A3" s="3" t="inlineStr">
        <is>
          <t>DEAL CASE (REALISTIC CABLE TARGET)</t>
        </is>
      </c>
    </row>
    <row r="4">
      <c r="A4" t="inlineStr">
        <is>
          <t>Buyer</t>
        </is>
      </c>
      <c r="B4" t="inlineStr">
        <is>
          <t>Comcast (CMCSA)</t>
        </is>
      </c>
    </row>
    <row r="5">
      <c r="A5" t="inlineStr">
        <is>
          <t>Target</t>
        </is>
      </c>
      <c r="B5" t="inlineStr">
        <is>
          <t>Altice USA (ATUS)</t>
        </is>
      </c>
    </row>
    <row r="6">
      <c r="A6" t="inlineStr">
        <is>
          <t>Deal Type</t>
        </is>
      </c>
      <c r="B6" t="inlineStr">
        <is>
          <t>Strategic Acquisition</t>
        </is>
      </c>
    </row>
    <row r="7">
      <c r="A7" t="inlineStr">
        <is>
          <t>Purchase Premium</t>
        </is>
      </c>
      <c r="B7" s="5" t="n">
        <v>0.3</v>
      </c>
    </row>
    <row r="8">
      <c r="A8" t="inlineStr">
        <is>
          <t>LTM EV/EBITDA Multiple</t>
        </is>
      </c>
      <c r="B8" s="11" t="n">
        <v>7.5</v>
      </c>
    </row>
    <row r="9">
      <c r="A9" t="inlineStr">
        <is>
          <t>Synergies (Run-Rate, $M)</t>
        </is>
      </c>
      <c r="B9" s="4" t="n">
        <v>300</v>
      </c>
    </row>
    <row r="10">
      <c r="A10" t="inlineStr">
        <is>
          <t>Funding Mix (Debt / Equity)</t>
        </is>
      </c>
      <c r="B10" t="inlineStr">
        <is>
          <t>60% / 40%</t>
        </is>
      </c>
    </row>
  </sheetData>
  <mergeCells count="1"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KPI Dashboard</t>
        </is>
      </c>
    </row>
    <row r="3">
      <c r="A3" t="inlineStr">
        <is>
          <t>Implied Share Price (Gordon)</t>
        </is>
      </c>
      <c r="B3" s="26">
        <f>DCF_Valuation!B18</f>
        <v/>
      </c>
    </row>
    <row r="4">
      <c r="A4" t="inlineStr">
        <is>
          <t>Implied Share Price (Exit)</t>
        </is>
      </c>
      <c r="B4" s="26">
        <f>DCF_Valuation!B24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Trading Comps</t>
        </is>
      </c>
    </row>
    <row r="3">
      <c r="A3" t="inlineStr">
        <is>
          <t>(Placeholder for trading comps)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Transactions Comps</t>
        </is>
      </c>
    </row>
    <row r="3">
      <c r="A3" t="inlineStr">
        <is>
          <t>(Placeholder for transactions comps)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Charts &amp; Model Integrity Checks</t>
        </is>
      </c>
    </row>
    <row r="3">
      <c r="A3" s="3" t="inlineStr">
        <is>
          <t>VALIDATION CHECKS</t>
        </is>
      </c>
    </row>
    <row r="4">
      <c r="A4" s="2" t="inlineStr">
        <is>
          <t>Check</t>
        </is>
      </c>
      <c r="B4" s="2" t="inlineStr">
        <is>
          <t>Status</t>
        </is>
      </c>
      <c r="C4" s="2" t="inlineStr">
        <is>
          <t>Description</t>
        </is>
      </c>
    </row>
    <row r="5">
      <c r="A5" t="inlineStr">
        <is>
          <t>WACC &gt; Terminal Growth</t>
        </is>
      </c>
      <c r="B5" s="30">
        <f>IF(WACC!B15&gt;Key_Assumptions!B37,"PASS","FAIL")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30">
        <f>IF(AND(WACC!B15&gt;=0.05,WACC!B15&lt;=0.15),"PASS","WARNING")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30">
        <f>IF(Key_Assumptions!B37&lt;=0.04,"PASS","WARNING")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30">
        <f>IF(Key_Assumptions!B8&gt;0,"PASS","FAIL")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30">
        <f>IF(Key_Assumptions!B42&gt;0,"PASS","FAIL")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2026-02-03T05:09:58Z</dcterms:created>
  <dcterms:modified xsi:type="dcterms:W3CDTF">2026-02-03T05:09:58Z</dcterms:modified>
</cp:coreProperties>
</file>