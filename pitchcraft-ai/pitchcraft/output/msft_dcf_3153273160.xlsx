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DCF Analysis" sheetId="2" state="visible" r:id="rId2"/>
    <sheet name="Sensitivity" sheetId="3" state="visible" r:id="rId3"/>
    <sheet name="Check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%"/>
    <numFmt numFmtId="165" formatCode="0.0x"/>
    <numFmt numFmtId="166" formatCode="#,##0.0"/>
    <numFmt numFmtId="167" formatCode="0.0"/>
    <numFmt numFmtId="168" formatCode="0.0000"/>
    <numFmt numFmtId="169" formatCode="&quot;$&quot;#,##0.00"/>
  </numFmts>
  <fonts count="11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color rgb="000000FF"/>
    </font>
    <font>
      <color rgb="00000000"/>
    </font>
    <font>
      <b val="1"/>
    </font>
    <font>
      <b val="1"/>
      <sz val="11"/>
    </font>
    <font>
      <color rgb="00008000"/>
    </font>
    <font>
      <b val="1"/>
      <i val="1"/>
    </font>
    <font>
      <b val="1"/>
      <sz val="12"/>
    </font>
    <font>
      <i val="1"/>
      <color rgb="00808080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2CC"/>
        <bgColor rgb="00FFF2CC"/>
      </patternFill>
    </fill>
    <fill>
      <patternFill patternType="solid">
        <fgColor rgb="00D9EAD3"/>
        <bgColor rgb="00D9EAD3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3" fillId="3" borderId="1" pivotButton="0" quotePrefix="0" xfId="0"/>
    <xf numFmtId="164" fontId="3" fillId="3" borderId="1" pivotButton="0" quotePrefix="0" xfId="0"/>
    <xf numFmtId="10" fontId="3" fillId="3" borderId="1" pivotButton="0" quotePrefix="0" xfId="0"/>
    <xf numFmtId="2" fontId="3" fillId="3" borderId="1" pivotButton="0" quotePrefix="0" xfId="0"/>
    <xf numFmtId="10" fontId="4" fillId="0" borderId="0" pivotButton="0" quotePrefix="0" xfId="0"/>
    <xf numFmtId="0" fontId="5" fillId="0" borderId="0" pivotButton="0" quotePrefix="0" xfId="0"/>
    <xf numFmtId="10" fontId="5" fillId="4" borderId="1" pivotButton="0" quotePrefix="0" xfId="0"/>
    <xf numFmtId="165" fontId="3" fillId="3" borderId="1" pivotButton="0" quotePrefix="0" xfId="0"/>
    <xf numFmtId="166" fontId="3" fillId="3" borderId="1" pivotButton="0" quotePrefix="0" xfId="0"/>
    <xf numFmtId="1" fontId="3" fillId="3" borderId="1" pivotButton="0" quotePrefix="0" xfId="0"/>
    <xf numFmtId="0" fontId="6" fillId="0" borderId="0" applyAlignment="1" pivotButton="0" quotePrefix="0" xfId="0">
      <alignment horizontal="center"/>
    </xf>
    <xf numFmtId="164" fontId="7" fillId="0" borderId="0" pivotButton="0" quotePrefix="0" xfId="0"/>
    <xf numFmtId="3" fontId="0" fillId="0" borderId="0" pivotButton="0" quotePrefix="0" xfId="0"/>
    <xf numFmtId="3" fontId="4" fillId="0" borderId="0" pivotButton="0" quotePrefix="0" xfId="0"/>
    <xf numFmtId="3" fontId="5" fillId="0" borderId="2" pivotButton="0" quotePrefix="0" xfId="0"/>
    <xf numFmtId="167" fontId="4" fillId="0" borderId="0" pivotButton="0" quotePrefix="0" xfId="0"/>
    <xf numFmtId="168" fontId="4" fillId="0" borderId="0" pivotButton="0" quotePrefix="0" xfId="0"/>
    <xf numFmtId="0" fontId="8" fillId="0" borderId="0" pivotButton="0" quotePrefix="0" xfId="0"/>
    <xf numFmtId="3" fontId="5" fillId="0" borderId="0" pivotButton="0" quotePrefix="0" xfId="0"/>
    <xf numFmtId="3" fontId="5" fillId="4" borderId="1" pivotButton="0" quotePrefix="0" xfId="0"/>
    <xf numFmtId="169" fontId="9" fillId="4" borderId="1" pivotButton="0" quotePrefix="0" xfId="0"/>
    <xf numFmtId="164" fontId="0" fillId="0" borderId="0" applyAlignment="1" pivotButton="0" quotePrefix="0" xfId="0">
      <alignment horizontal="center"/>
    </xf>
    <xf numFmtId="164" fontId="0" fillId="0" borderId="0" pivotButton="0" quotePrefix="0" xfId="0"/>
    <xf numFmtId="0" fontId="10" fillId="0" borderId="0" pivotButton="0" quotePrefix="0" xfId="0"/>
    <xf numFmtId="165" fontId="0" fillId="0" borderId="0" applyAlignment="1" pivotButton="0" quotePrefix="0" xfId="0">
      <alignment horizontal="center"/>
    </xf>
    <xf numFmtId="0" fontId="6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DCF Valuation Model - MICROSOFT CORPORATION (MSFT)</t>
        </is>
      </c>
    </row>
    <row r="3">
      <c r="A3" s="2" t="inlineStr">
        <is>
          <t>COMPANY INFORMATION</t>
        </is>
      </c>
    </row>
    <row r="4">
      <c r="A4" t="inlineStr">
        <is>
          <t>Company Name</t>
        </is>
      </c>
      <c r="B4" t="inlineStr">
        <is>
          <t>MICROSOFT CORPORATION</t>
        </is>
      </c>
    </row>
    <row r="5">
      <c r="A5" t="inlineStr">
        <is>
          <t>Ticker</t>
        </is>
      </c>
      <c r="B5" t="inlineStr">
        <is>
          <t>MSFT</t>
        </is>
      </c>
    </row>
    <row r="7">
      <c r="A7" s="2" t="inlineStr">
        <is>
          <t>REVENUE ASSUMPTIONS</t>
        </is>
      </c>
    </row>
    <row r="8">
      <c r="A8" t="inlineStr">
        <is>
          <t>Base Year Revenue ($M)</t>
        </is>
      </c>
      <c r="B8" s="3" t="n">
        <v>281724</v>
      </c>
    </row>
    <row r="9">
      <c r="A9" t="inlineStr">
        <is>
          <t>Year 1 Growth</t>
        </is>
      </c>
      <c r="B9" s="4" t="n">
        <v>0.1</v>
      </c>
    </row>
    <row r="10">
      <c r="A10" t="inlineStr">
        <is>
          <t>Year 2 Growth</t>
        </is>
      </c>
      <c r="B10" s="4" t="n">
        <v>0.08</v>
      </c>
    </row>
    <row r="11">
      <c r="A11" t="inlineStr">
        <is>
          <t>Year 3 Growth</t>
        </is>
      </c>
      <c r="B11" s="4" t="n">
        <v>0.06</v>
      </c>
    </row>
    <row r="12">
      <c r="A12" t="inlineStr">
        <is>
          <t>Year 4 Growth</t>
        </is>
      </c>
      <c r="B12" s="4" t="n">
        <v>0.05</v>
      </c>
    </row>
    <row r="13">
      <c r="A13" t="inlineStr">
        <is>
          <t>Year 5 Growth</t>
        </is>
      </c>
      <c r="B13" s="4" t="n">
        <v>0.04</v>
      </c>
    </row>
    <row r="15">
      <c r="A15" s="2" t="inlineStr">
        <is>
          <t>OPERATING ASSUMPTIONS</t>
        </is>
      </c>
    </row>
    <row r="16">
      <c r="A16" t="inlineStr">
        <is>
          <t>EBITDA Margin</t>
        </is>
      </c>
      <c r="B16" s="4" t="n">
        <v>0.45</v>
      </c>
    </row>
    <row r="17">
      <c r="A17" t="inlineStr">
        <is>
          <t>D&amp;A (% of Revenue)</t>
        </is>
      </c>
      <c r="B17" s="4" t="n">
        <v>0.03</v>
      </c>
    </row>
    <row r="18">
      <c r="A18" t="inlineStr">
        <is>
          <t>CapEx (% of Revenue)</t>
        </is>
      </c>
      <c r="B18" s="4" t="n">
        <v>0.04</v>
      </c>
    </row>
    <row r="19">
      <c r="A19" t="inlineStr">
        <is>
          <t>NWC (% of Revenue)</t>
        </is>
      </c>
      <c r="B19" s="4" t="n">
        <v>0.1</v>
      </c>
    </row>
    <row r="20">
      <c r="A20" t="inlineStr">
        <is>
          <t>Tax Rate</t>
        </is>
      </c>
      <c r="B20" s="4" t="n">
        <v>0.25</v>
      </c>
    </row>
    <row r="22">
      <c r="A22" s="2" t="inlineStr">
        <is>
          <t>WACC BUILDUP</t>
        </is>
      </c>
    </row>
    <row r="23">
      <c r="A23" t="inlineStr">
        <is>
          <t>Risk-Free Rate</t>
        </is>
      </c>
      <c r="B23" s="5" t="n">
        <v>0.045</v>
      </c>
    </row>
    <row r="24">
      <c r="A24" t="inlineStr">
        <is>
          <t>Equity Risk Premium</t>
        </is>
      </c>
      <c r="B24" s="5" t="n">
        <v>0.055</v>
      </c>
    </row>
    <row r="25">
      <c r="A25" t="inlineStr">
        <is>
          <t>Levered Beta</t>
        </is>
      </c>
      <c r="B25" s="6" t="n">
        <v>1</v>
      </c>
    </row>
    <row r="26">
      <c r="A26" t="inlineStr">
        <is>
          <t>Pre-Tax Cost of Debt</t>
        </is>
      </c>
      <c r="B26" s="5" t="n">
        <v>0.05</v>
      </c>
    </row>
    <row r="27">
      <c r="A27" t="inlineStr">
        <is>
          <t>Debt / Total Capital</t>
        </is>
      </c>
      <c r="B27" s="4" t="n">
        <v>0.2</v>
      </c>
    </row>
    <row r="29">
      <c r="A29" t="inlineStr">
        <is>
          <t>Cost of Equity (CAPM)</t>
        </is>
      </c>
      <c r="B29" s="7">
        <f>B23+B25*B24</f>
        <v/>
      </c>
    </row>
    <row r="30">
      <c r="A30" t="inlineStr">
        <is>
          <t>After-Tax Cost of Debt</t>
        </is>
      </c>
      <c r="B30" s="7">
        <f>B26*(1-B20)</f>
        <v/>
      </c>
    </row>
    <row r="31">
      <c r="A31" s="8" t="inlineStr">
        <is>
          <t>WACC</t>
        </is>
      </c>
      <c r="B31" s="9">
        <f>B29*(1-B27)+B30*B27</f>
        <v/>
      </c>
    </row>
    <row r="33">
      <c r="A33" s="2" t="inlineStr">
        <is>
          <t>TERMINAL VALUE ASSUMPTIONS</t>
        </is>
      </c>
    </row>
    <row r="34">
      <c r="A34" t="inlineStr">
        <is>
          <t>Perpetuity Growth Rate</t>
        </is>
      </c>
      <c r="B34" s="5" t="n">
        <v>0.025</v>
      </c>
    </row>
    <row r="35">
      <c r="A35" t="inlineStr">
        <is>
          <t>Exit EV/EBITDA Multiple</t>
        </is>
      </c>
      <c r="B35" s="10" t="n">
        <v>12</v>
      </c>
    </row>
    <row r="37">
      <c r="A37" s="2" t="inlineStr">
        <is>
          <t>CAPITAL STRUCTURE</t>
        </is>
      </c>
    </row>
    <row r="38">
      <c r="A38" t="inlineStr">
        <is>
          <t>Net Debt ($M)</t>
        </is>
      </c>
      <c r="B38" s="3" t="n">
        <v>14695</v>
      </c>
    </row>
    <row r="39">
      <c r="A39" t="inlineStr">
        <is>
          <t>Shares Outstanding (M)</t>
        </is>
      </c>
      <c r="B39" s="11" t="n">
        <v>7464</v>
      </c>
    </row>
    <row r="41">
      <c r="A41" s="2" t="inlineStr">
        <is>
          <t>MODEL SETTINGS</t>
        </is>
      </c>
    </row>
    <row r="42">
      <c r="A42" t="inlineStr">
        <is>
          <t>Use Mid-Year Convention</t>
        </is>
      </c>
      <c r="B42" s="12" t="n">
        <v>1</v>
      </c>
      <c r="C42" t="inlineStr">
        <is>
          <t>(1=Yes, 0=No)</t>
        </is>
      </c>
    </row>
  </sheetData>
  <mergeCells count="7">
    <mergeCell ref="A37:D37"/>
    <mergeCell ref="A22:D22"/>
    <mergeCell ref="A3:D3"/>
    <mergeCell ref="A15:D15"/>
    <mergeCell ref="A7:D7"/>
    <mergeCell ref="A41:D41"/>
    <mergeCell ref="A33:D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Discounted Cash Flow Analysis</t>
        </is>
      </c>
    </row>
    <row r="3">
      <c r="B3" s="13" t="inlineStr">
        <is>
          <t>Base</t>
        </is>
      </c>
      <c r="C3" s="13" t="inlineStr">
        <is>
          <t>Year 1</t>
        </is>
      </c>
      <c r="D3" s="13" t="inlineStr">
        <is>
          <t>Year 2</t>
        </is>
      </c>
      <c r="E3" s="13" t="inlineStr">
        <is>
          <t>Year 3</t>
        </is>
      </c>
      <c r="F3" s="13" t="inlineStr">
        <is>
          <t>Year 4</t>
        </is>
      </c>
      <c r="G3" s="13" t="inlineStr">
        <is>
          <t>Year 5</t>
        </is>
      </c>
      <c r="H3" s="13" t="inlineStr">
        <is>
          <t>Terminal</t>
        </is>
      </c>
    </row>
    <row r="4">
      <c r="A4" t="inlineStr">
        <is>
          <t>Revenue Growth</t>
        </is>
      </c>
      <c r="B4" t="inlineStr">
        <is>
          <t>—</t>
        </is>
      </c>
      <c r="C4" s="14">
        <f>Assumptions!B9</f>
        <v/>
      </c>
      <c r="D4" s="14">
        <f>Assumptions!B10</f>
        <v/>
      </c>
      <c r="E4" s="14">
        <f>Assumptions!B11</f>
        <v/>
      </c>
      <c r="F4" s="14">
        <f>Assumptions!B12</f>
        <v/>
      </c>
      <c r="G4" s="14">
        <f>Assumptions!B13</f>
        <v/>
      </c>
    </row>
    <row r="5">
      <c r="A5" t="inlineStr">
        <is>
          <t>Revenue</t>
        </is>
      </c>
      <c r="B5" s="15">
        <f>Assumptions!B8</f>
        <v/>
      </c>
      <c r="C5" s="16">
        <f>B5*(1+C4)</f>
        <v/>
      </c>
      <c r="D5" s="16">
        <f>C5*(1+D4)</f>
        <v/>
      </c>
      <c r="E5" s="16">
        <f>D5*(1+E4)</f>
        <v/>
      </c>
      <c r="F5" s="16">
        <f>E5*(1+F4)</f>
        <v/>
      </c>
      <c r="G5" s="16">
        <f>F5*(1+G4)</f>
        <v/>
      </c>
    </row>
    <row r="6">
      <c r="A6" t="inlineStr">
        <is>
          <t>EBITDA</t>
        </is>
      </c>
      <c r="B6" s="16">
        <f>B5*Assumptions!B16</f>
        <v/>
      </c>
      <c r="C6" s="16">
        <f>C5*Assumptions!B16</f>
        <v/>
      </c>
      <c r="D6" s="16">
        <f>D5*Assumptions!B16</f>
        <v/>
      </c>
      <c r="E6" s="16">
        <f>E5*Assumptions!B16</f>
        <v/>
      </c>
      <c r="F6" s="16">
        <f>F5*Assumptions!B16</f>
        <v/>
      </c>
      <c r="G6" s="16">
        <f>G5*Assumptions!B16</f>
        <v/>
      </c>
    </row>
    <row r="7">
      <c r="A7" t="inlineStr">
        <is>
          <t>Less: D&amp;A</t>
        </is>
      </c>
      <c r="B7" s="16">
        <f>-B5*Assumptions!B17</f>
        <v/>
      </c>
      <c r="C7" s="16">
        <f>-C5*Assumptions!B17</f>
        <v/>
      </c>
      <c r="D7" s="16">
        <f>-D5*Assumptions!B17</f>
        <v/>
      </c>
      <c r="E7" s="16">
        <f>-E5*Assumptions!B17</f>
        <v/>
      </c>
      <c r="F7" s="16">
        <f>-F5*Assumptions!B17</f>
        <v/>
      </c>
      <c r="G7" s="16">
        <f>-G5*Assumptions!B17</f>
        <v/>
      </c>
    </row>
    <row r="8">
      <c r="A8" t="inlineStr">
        <is>
          <t>EBIT</t>
        </is>
      </c>
      <c r="B8" s="16">
        <f>B6+B7</f>
        <v/>
      </c>
      <c r="C8" s="16">
        <f>C6+C7</f>
        <v/>
      </c>
      <c r="D8" s="16">
        <f>D6+D7</f>
        <v/>
      </c>
      <c r="E8" s="16">
        <f>E6+E7</f>
        <v/>
      </c>
      <c r="F8" s="16">
        <f>F6+F7</f>
        <v/>
      </c>
      <c r="G8" s="16">
        <f>G6+G7</f>
        <v/>
      </c>
    </row>
    <row r="9">
      <c r="A9" t="inlineStr">
        <is>
          <t>Less: Taxes</t>
        </is>
      </c>
      <c r="B9" s="16">
        <f>-MAX(0,B8)*Assumptions!B20</f>
        <v/>
      </c>
      <c r="C9" s="16">
        <f>-MAX(0,C8)*Assumptions!B20</f>
        <v/>
      </c>
      <c r="D9" s="16">
        <f>-MAX(0,D8)*Assumptions!B20</f>
        <v/>
      </c>
      <c r="E9" s="16">
        <f>-MAX(0,E8)*Assumptions!B20</f>
        <v/>
      </c>
      <c r="F9" s="16">
        <f>-MAX(0,F8)*Assumptions!B20</f>
        <v/>
      </c>
      <c r="G9" s="16">
        <f>-MAX(0,G8)*Assumptions!B20</f>
        <v/>
      </c>
    </row>
    <row r="10">
      <c r="A10" t="inlineStr">
        <is>
          <t>NOPAT</t>
        </is>
      </c>
      <c r="B10" s="16">
        <f>B8+B9</f>
        <v/>
      </c>
      <c r="C10" s="16">
        <f>C8+C9</f>
        <v/>
      </c>
      <c r="D10" s="16">
        <f>D8+D9</f>
        <v/>
      </c>
      <c r="E10" s="16">
        <f>E8+E9</f>
        <v/>
      </c>
      <c r="F10" s="16">
        <f>F8+F9</f>
        <v/>
      </c>
      <c r="G10" s="16">
        <f>G8+G9</f>
        <v/>
      </c>
    </row>
    <row r="11">
      <c r="A11" t="inlineStr">
        <is>
          <t>Plus: D&amp;A</t>
        </is>
      </c>
      <c r="B11" s="16">
        <f>-B7</f>
        <v/>
      </c>
      <c r="C11" s="16">
        <f>-C7</f>
        <v/>
      </c>
      <c r="D11" s="16">
        <f>-D7</f>
        <v/>
      </c>
      <c r="E11" s="16">
        <f>-E7</f>
        <v/>
      </c>
      <c r="F11" s="16">
        <f>-F7</f>
        <v/>
      </c>
      <c r="G11" s="16">
        <f>-G7</f>
        <v/>
      </c>
    </row>
    <row r="12">
      <c r="A12" t="inlineStr">
        <is>
          <t>Less: CapEx</t>
        </is>
      </c>
      <c r="B12" s="16">
        <f>-B5*Assumptions!B18</f>
        <v/>
      </c>
      <c r="C12" s="16">
        <f>-C5*Assumptions!B18</f>
        <v/>
      </c>
      <c r="D12" s="16">
        <f>-D5*Assumptions!B18</f>
        <v/>
      </c>
      <c r="E12" s="16">
        <f>-E5*Assumptions!B18</f>
        <v/>
      </c>
      <c r="F12" s="16">
        <f>-F5*Assumptions!B18</f>
        <v/>
      </c>
      <c r="G12" s="16">
        <f>-G5*Assumptions!B18</f>
        <v/>
      </c>
    </row>
    <row r="13">
      <c r="A13" t="inlineStr">
        <is>
          <t>Less: Chg in NWC</t>
        </is>
      </c>
      <c r="B13" s="15" t="n">
        <v>0</v>
      </c>
      <c r="C13" s="16">
        <f>-(C5-B5)*Assumptions!B19</f>
        <v/>
      </c>
      <c r="D13" s="16">
        <f>-(D5-C5)*Assumptions!B19</f>
        <v/>
      </c>
      <c r="E13" s="16">
        <f>-(E5-D5)*Assumptions!B19</f>
        <v/>
      </c>
      <c r="F13" s="16">
        <f>-(F5-E5)*Assumptions!B19</f>
        <v/>
      </c>
      <c r="G13" s="16">
        <f>-(G5-F5)*Assumptions!B19</f>
        <v/>
      </c>
    </row>
    <row r="14">
      <c r="A14" s="8" t="inlineStr">
        <is>
          <t>Unlevered FCF</t>
        </is>
      </c>
      <c r="B14" s="17">
        <f>B10+B11+B12+B13</f>
        <v/>
      </c>
      <c r="C14" s="17">
        <f>C10+C11+C12+C13</f>
        <v/>
      </c>
      <c r="D14" s="17">
        <f>D10+D11+D12+D13</f>
        <v/>
      </c>
      <c r="E14" s="17">
        <f>E10+E11+E12+E13</f>
        <v/>
      </c>
      <c r="F14" s="17">
        <f>F10+F11+F12+F13</f>
        <v/>
      </c>
      <c r="G14" s="17">
        <f>G10+G11+G12+G13</f>
        <v/>
      </c>
    </row>
    <row r="16">
      <c r="A16" s="2" t="inlineStr">
        <is>
          <t>PRESENT VALUE CALCULATION</t>
        </is>
      </c>
    </row>
    <row r="17">
      <c r="A17" t="inlineStr">
        <is>
          <t>Discount Period</t>
        </is>
      </c>
      <c r="C17" s="18">
        <f>IF(Assumptions!B42=1,0+0.5,1)</f>
        <v/>
      </c>
      <c r="D17" s="18">
        <f>IF(Assumptions!B42=1,1+0.5,2)</f>
        <v/>
      </c>
      <c r="E17" s="18">
        <f>IF(Assumptions!B42=1,2+0.5,3)</f>
        <v/>
      </c>
      <c r="F17" s="18">
        <f>IF(Assumptions!B42=1,3+0.5,4)</f>
        <v/>
      </c>
      <c r="G17" s="18">
        <f>IF(Assumptions!B42=1,4+0.5,5)</f>
        <v/>
      </c>
    </row>
    <row r="18">
      <c r="A18" t="inlineStr">
        <is>
          <t>Discount Factor</t>
        </is>
      </c>
      <c r="C18" s="19">
        <f>1/(1+Assumptions!B31)^C17</f>
        <v/>
      </c>
      <c r="D18" s="19">
        <f>1/(1+Assumptions!B31)^D17</f>
        <v/>
      </c>
      <c r="E18" s="19">
        <f>1/(1+Assumptions!B31)^E17</f>
        <v/>
      </c>
      <c r="F18" s="19">
        <f>1/(1+Assumptions!B31)^F17</f>
        <v/>
      </c>
      <c r="G18" s="19">
        <f>1/(1+Assumptions!B31)^G17</f>
        <v/>
      </c>
    </row>
    <row r="19">
      <c r="A19" t="inlineStr">
        <is>
          <t>PV of FCF</t>
        </is>
      </c>
      <c r="C19" s="16">
        <f>C14*C18</f>
        <v/>
      </c>
      <c r="D19" s="16">
        <f>D14*D18</f>
        <v/>
      </c>
      <c r="E19" s="16">
        <f>E14*E18</f>
        <v/>
      </c>
      <c r="F19" s="16">
        <f>F14*F18</f>
        <v/>
      </c>
      <c r="G19" s="16">
        <f>G14*G18</f>
        <v/>
      </c>
    </row>
    <row r="21">
      <c r="A21" s="2" t="inlineStr">
        <is>
          <t>TERMINAL VALUE</t>
        </is>
      </c>
    </row>
    <row r="22">
      <c r="A22" t="inlineStr">
        <is>
          <t>Terminal Value (Gordon Growth)</t>
        </is>
      </c>
      <c r="B22" s="16">
        <f>G14*(1+Assumptions!B34)/(Assumptions!B31-Assumptions!B34)</f>
        <v/>
      </c>
    </row>
    <row r="23">
      <c r="A23" t="inlineStr">
        <is>
          <t>Terminal Value (Exit Multiple)</t>
        </is>
      </c>
      <c r="B23" s="16">
        <f>G6*Assumptions!B35</f>
        <v/>
      </c>
    </row>
    <row r="24">
      <c r="A24" t="inlineStr">
        <is>
          <t>PV of TV (Gordon Growth)</t>
        </is>
      </c>
      <c r="B24" s="16">
        <f>B22/(1+Assumptions!B31)^IF(Assumptions!B42=1,5,5)</f>
        <v/>
      </c>
    </row>
    <row r="25">
      <c r="A25" t="inlineStr">
        <is>
          <t>PV of TV (Exit Multiple)</t>
        </is>
      </c>
      <c r="B25" s="16">
        <f>B23/(1+Assumptions!B31)^IF(Assumptions!B42=1,5,5)</f>
        <v/>
      </c>
    </row>
    <row r="27">
      <c r="A27" s="2" t="inlineStr">
        <is>
          <t>VALUATION SUMMARY</t>
        </is>
      </c>
    </row>
    <row r="28">
      <c r="A28" t="inlineStr">
        <is>
          <t>Sum of PV of FCFs</t>
        </is>
      </c>
      <c r="B28" s="16">
        <f>SUM(C19:G19)</f>
        <v/>
      </c>
    </row>
    <row r="30">
      <c r="A30" s="20" t="inlineStr">
        <is>
          <t>GORDON GROWTH METHOD</t>
        </is>
      </c>
    </row>
    <row r="31">
      <c r="A31" t="inlineStr">
        <is>
          <t>Enterprise Value</t>
        </is>
      </c>
      <c r="B31" s="21">
        <f>B28+B24</f>
        <v/>
      </c>
    </row>
    <row r="32">
      <c r="A32" t="inlineStr">
        <is>
          <t>Less: Net Debt</t>
        </is>
      </c>
      <c r="B32" s="16">
        <f>-Assumptions!B38</f>
        <v/>
      </c>
    </row>
    <row r="33">
      <c r="A33" t="inlineStr">
        <is>
          <t>Equity Value</t>
        </is>
      </c>
      <c r="B33" s="22">
        <f>B31+B32</f>
        <v/>
      </c>
    </row>
    <row r="34">
      <c r="A34" t="inlineStr">
        <is>
          <t>Implied Share Price</t>
        </is>
      </c>
      <c r="B34" s="23">
        <f>B33/Assumptions!B39</f>
        <v/>
      </c>
    </row>
    <row r="36">
      <c r="A36" s="20" t="inlineStr">
        <is>
          <t>EXIT MULTIPLE METHOD</t>
        </is>
      </c>
    </row>
    <row r="37">
      <c r="A37" t="inlineStr">
        <is>
          <t>Enterprise Value</t>
        </is>
      </c>
      <c r="B37" s="21">
        <f>B28+B25</f>
        <v/>
      </c>
    </row>
    <row r="38">
      <c r="A38" t="inlineStr">
        <is>
          <t>Less: Net Debt</t>
        </is>
      </c>
      <c r="B38" s="16">
        <f>-Assumptions!B38</f>
        <v/>
      </c>
    </row>
    <row r="39">
      <c r="A39" t="inlineStr">
        <is>
          <t>Equity Value</t>
        </is>
      </c>
      <c r="B39" s="22">
        <f>B37+B38</f>
        <v/>
      </c>
    </row>
    <row r="40">
      <c r="A40" t="inlineStr">
        <is>
          <t>Implied Share Price</t>
        </is>
      </c>
      <c r="B40" s="23">
        <f>B39/Assumptions!B39</f>
        <v/>
      </c>
    </row>
  </sheetData>
  <mergeCells count="3">
    <mergeCell ref="A27:D27"/>
    <mergeCell ref="A21:H21"/>
    <mergeCell ref="A16:H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Sensitivity Analysis</t>
        </is>
      </c>
    </row>
    <row r="3">
      <c r="A3" s="2" t="inlineStr">
        <is>
          <t>SHARE PRICE: WACC vs TERMINAL GROWTH (Gordon Growth)</t>
        </is>
      </c>
    </row>
    <row r="5">
      <c r="A5" t="inlineStr">
        <is>
          <t>Terminal Growth →</t>
        </is>
      </c>
      <c r="B5" t="inlineStr">
        <is>
          <t>WACC ↓</t>
        </is>
      </c>
      <c r="C5" s="24" t="n">
        <v>0.015</v>
      </c>
      <c r="D5" s="24" t="n">
        <v>0.02</v>
      </c>
      <c r="E5" s="24" t="n">
        <v>0.025</v>
      </c>
      <c r="F5" s="24" t="n">
        <v>0.03</v>
      </c>
      <c r="G5" s="24" t="n">
        <v>0.035</v>
      </c>
    </row>
    <row r="6">
      <c r="B6" s="25" t="n">
        <v>0.08</v>
      </c>
      <c r="C6" t="inlineStr">
        <is>
          <t>—</t>
        </is>
      </c>
      <c r="D6" t="inlineStr">
        <is>
          <t>—</t>
        </is>
      </c>
      <c r="E6" t="inlineStr">
        <is>
          <t>—</t>
        </is>
      </c>
      <c r="F6" t="inlineStr">
        <is>
          <t>—</t>
        </is>
      </c>
      <c r="G6" t="inlineStr">
        <is>
          <t>—</t>
        </is>
      </c>
    </row>
    <row r="7">
      <c r="B7" s="25" t="n">
        <v>0.09</v>
      </c>
      <c r="C7" t="inlineStr">
        <is>
          <t>—</t>
        </is>
      </c>
      <c r="D7" t="inlineStr">
        <is>
          <t>—</t>
        </is>
      </c>
      <c r="E7" t="inlineStr">
        <is>
          <t>—</t>
        </is>
      </c>
      <c r="F7" t="inlineStr">
        <is>
          <t>—</t>
        </is>
      </c>
      <c r="G7" t="inlineStr">
        <is>
          <t>—</t>
        </is>
      </c>
    </row>
    <row r="8">
      <c r="B8" s="25" t="n">
        <v>0.1</v>
      </c>
      <c r="C8" t="inlineStr">
        <is>
          <t>—</t>
        </is>
      </c>
      <c r="D8" t="inlineStr">
        <is>
          <t>—</t>
        </is>
      </c>
      <c r="E8" t="inlineStr">
        <is>
          <t>—</t>
        </is>
      </c>
      <c r="F8" t="inlineStr">
        <is>
          <t>—</t>
        </is>
      </c>
      <c r="G8" t="inlineStr">
        <is>
          <t>—</t>
        </is>
      </c>
    </row>
    <row r="9">
      <c r="B9" s="25" t="n">
        <v>0.11</v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>
        <is>
          <t>—</t>
        </is>
      </c>
      <c r="G9" t="inlineStr">
        <is>
          <t>—</t>
        </is>
      </c>
    </row>
    <row r="10">
      <c r="B10" s="25" t="n">
        <v>0.12</v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  <c r="F10" t="inlineStr">
        <is>
          <t>—</t>
        </is>
      </c>
      <c r="G10" t="inlineStr">
        <is>
          <t>—</t>
        </is>
      </c>
    </row>
    <row r="13">
      <c r="A13" s="26" t="inlineStr">
        <is>
          <t>Note: Populate data table manually or via VBA</t>
        </is>
      </c>
    </row>
    <row r="15">
      <c r="A15" s="2" t="inlineStr">
        <is>
          <t>SHARE PRICE: WACC vs EXIT MULTIPLE</t>
        </is>
      </c>
    </row>
    <row r="17">
      <c r="A17" t="inlineStr">
        <is>
          <t>Exit Multiple →</t>
        </is>
      </c>
      <c r="B17" t="inlineStr">
        <is>
          <t>WACC ↓</t>
        </is>
      </c>
      <c r="C17" s="27" t="n">
        <v>8</v>
      </c>
      <c r="D17" s="27" t="n">
        <v>9</v>
      </c>
      <c r="E17" s="27" t="n">
        <v>10</v>
      </c>
      <c r="F17" s="27" t="n">
        <v>11</v>
      </c>
      <c r="G17" s="27" t="n">
        <v>12</v>
      </c>
    </row>
    <row r="18">
      <c r="B18" s="25" t="n">
        <v>0.08</v>
      </c>
      <c r="C18" t="inlineStr">
        <is>
          <t>—</t>
        </is>
      </c>
      <c r="D18" t="inlineStr">
        <is>
          <t>—</t>
        </is>
      </c>
      <c r="E18" t="inlineStr">
        <is>
          <t>—</t>
        </is>
      </c>
      <c r="F18" t="inlineStr">
        <is>
          <t>—</t>
        </is>
      </c>
      <c r="G18" t="inlineStr">
        <is>
          <t>—</t>
        </is>
      </c>
    </row>
    <row r="19">
      <c r="B19" s="25" t="n">
        <v>0.09</v>
      </c>
      <c r="C19" t="inlineStr">
        <is>
          <t>—</t>
        </is>
      </c>
      <c r="D19" t="inlineStr">
        <is>
          <t>—</t>
        </is>
      </c>
      <c r="E19" t="inlineStr">
        <is>
          <t>—</t>
        </is>
      </c>
      <c r="F19" t="inlineStr">
        <is>
          <t>—</t>
        </is>
      </c>
      <c r="G19" t="inlineStr">
        <is>
          <t>—</t>
        </is>
      </c>
    </row>
    <row r="20">
      <c r="B20" s="25" t="n">
        <v>0.1</v>
      </c>
      <c r="C20" t="inlineStr">
        <is>
          <t>—</t>
        </is>
      </c>
      <c r="D20" t="inlineStr">
        <is>
          <t>—</t>
        </is>
      </c>
      <c r="E20" t="inlineStr">
        <is>
          <t>—</t>
        </is>
      </c>
      <c r="F20" t="inlineStr">
        <is>
          <t>—</t>
        </is>
      </c>
      <c r="G20" t="inlineStr">
        <is>
          <t>—</t>
        </is>
      </c>
    </row>
    <row r="21">
      <c r="B21" s="25" t="n">
        <v>0.11</v>
      </c>
      <c r="C21" t="inlineStr">
        <is>
          <t>—</t>
        </is>
      </c>
      <c r="D21" t="inlineStr">
        <is>
          <t>—</t>
        </is>
      </c>
      <c r="E21" t="inlineStr">
        <is>
          <t>—</t>
        </is>
      </c>
      <c r="F21" t="inlineStr">
        <is>
          <t>—</t>
        </is>
      </c>
      <c r="G21" t="inlineStr">
        <is>
          <t>—</t>
        </is>
      </c>
    </row>
    <row r="22">
      <c r="B22" s="25" t="n">
        <v>0.12</v>
      </c>
      <c r="C22" t="inlineStr">
        <is>
          <t>—</t>
        </is>
      </c>
      <c r="D22" t="inlineStr">
        <is>
          <t>—</t>
        </is>
      </c>
      <c r="E22" t="inlineStr">
        <is>
          <t>—</t>
        </is>
      </c>
      <c r="F22" t="inlineStr">
        <is>
          <t>—</t>
        </is>
      </c>
      <c r="G22" t="inlineStr">
        <is>
          <t>—</t>
        </is>
      </c>
    </row>
  </sheetData>
  <mergeCells count="2">
    <mergeCell ref="A15:I15"/>
    <mergeCell ref="A3:I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Model Integrity Checks</t>
        </is>
      </c>
    </row>
    <row r="3">
      <c r="A3" s="2" t="inlineStr">
        <is>
          <t>VALIDATION CHECKS</t>
        </is>
      </c>
    </row>
    <row r="4">
      <c r="A4" s="28" t="inlineStr">
        <is>
          <t>Check</t>
        </is>
      </c>
      <c r="B4" s="28" t="inlineStr">
        <is>
          <t>Status</t>
        </is>
      </c>
      <c r="C4" s="28" t="inlineStr">
        <is>
          <t>Description</t>
        </is>
      </c>
    </row>
    <row r="5">
      <c r="A5" t="inlineStr">
        <is>
          <t>WACC &gt; Terminal Growth</t>
        </is>
      </c>
      <c r="B5" s="29">
        <f>IF(Assumptions!B31&gt;Assumptions!B34,"PASS","FAIL")</f>
        <v/>
      </c>
      <c r="C5" t="inlineStr">
        <is>
          <t>Terminal growth must be less than WACC</t>
        </is>
      </c>
    </row>
    <row r="6">
      <c r="A6" t="inlineStr">
        <is>
          <t>WACC is Reasonable (5-15%)</t>
        </is>
      </c>
      <c r="B6" s="29">
        <f>IF(AND(Assumptions!B31&gt;=0.05,Assumptions!B31&lt;=0.15),"PASS","WARNING")</f>
        <v/>
      </c>
      <c r="C6" t="inlineStr">
        <is>
          <t>WACC typically ranges 5-15%</t>
        </is>
      </c>
    </row>
    <row r="7">
      <c r="A7" t="inlineStr">
        <is>
          <t>Terminal Growth ≤ 4%</t>
        </is>
      </c>
      <c r="B7" s="29">
        <f>IF(Assumptions!B34&lt;=0.04,"PASS","WARNING")</f>
        <v/>
      </c>
      <c r="C7" t="inlineStr">
        <is>
          <t>Should not exceed long-term GDP growth</t>
        </is>
      </c>
    </row>
    <row r="8">
      <c r="A8" t="inlineStr">
        <is>
          <t>Positive Base Revenue</t>
        </is>
      </c>
      <c r="B8" s="29">
        <f>IF(Assumptions!B8&gt;0,"PASS","FAIL")</f>
        <v/>
      </c>
      <c r="C8" t="inlineStr">
        <is>
          <t>Revenue must be positive</t>
        </is>
      </c>
    </row>
    <row r="9">
      <c r="A9" t="inlineStr">
        <is>
          <t>Shares Outstanding &gt; 0</t>
        </is>
      </c>
      <c r="B9" s="29">
        <f>IF(Assumptions!B39&gt;0,"PASS","FAIL")</f>
        <v/>
      </c>
      <c r="C9" t="inlineStr">
        <is>
          <t>Shares must be positive</t>
        </is>
      </c>
    </row>
  </sheetData>
  <mergeCells count="1"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2026-02-03T01:40:35Z</dcterms:created>
  <dcterms:modified xsi:type="dcterms:W3CDTF">2026-02-03T01:40:35Z</dcterms:modified>
</cp:coreProperties>
</file>